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bkengenhariacom-my.sharepoint.com/personal/marcio_bk-engenharia_com/Documents/1. Engenharia/16. Linhas de Transmissão/"/>
    </mc:Choice>
  </mc:AlternateContent>
  <xr:revisionPtr revIDLastSave="1" documentId="13_ncr:1_{E4167A00-7D97-4883-9650-45BE31F5B94F}" xr6:coauthVersionLast="47" xr6:coauthVersionMax="47" xr10:uidLastSave="{3E97A9C1-34D7-489D-8EA6-6AFD182037D5}"/>
  <bookViews>
    <workbookView xWindow="-120" yWindow="-120" windowWidth="29040" windowHeight="15720" xr2:uid="{00000000-000D-0000-FFFF-FFFF00000000}"/>
  </bookViews>
  <sheets>
    <sheet name="Principal" sheetId="2" r:id="rId1"/>
    <sheet name="Circuito PI" sheetId="24" r:id="rId2"/>
    <sheet name="Relatório" sheetId="6" r:id="rId3"/>
    <sheet name="Calc" sheetId="5" state="hidden" r:id="rId4"/>
    <sheet name="CAA" sheetId="3" state="hidden" r:id="rId5"/>
    <sheet name="CA" sheetId="4" state="hidden" r:id="rId6"/>
    <sheet name="CAL" sheetId="22" state="hidden" r:id="rId7"/>
    <sheet name="Estruturas" sheetId="19" r:id="rId8"/>
    <sheet name="Análises" sheetId="25" r:id="rId9"/>
    <sheet name="PI-calc" sheetId="7" state="hidden" r:id="rId10"/>
  </sheets>
  <definedNames>
    <definedName name="_xlnm._FilterDatabase" localSheetId="4" hidden="1">CAA!$B$4:$J$80</definedName>
    <definedName name="_xlnm.Print_Area" localSheetId="0">Principal!$B$2:$W$27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16" i="19" l="1"/>
  <c r="AF16" i="19"/>
  <c r="AG16" i="19"/>
  <c r="AE17" i="19"/>
  <c r="AF17" i="19"/>
  <c r="AG17" i="19"/>
  <c r="AE18" i="19"/>
  <c r="AF18" i="19"/>
  <c r="AG18" i="19"/>
  <c r="F19" i="2" a="1"/>
  <c r="H17" i="2" a="1"/>
  <c r="E15" i="2" a="1"/>
  <c r="AC3" i="3" a="1"/>
  <c r="U4" i="5" s="1"/>
  <c r="U6" i="5" s="1" a="1"/>
  <c r="U5" i="5"/>
  <c r="U3" i="5"/>
  <c r="AE4" i="19"/>
  <c r="E3" i="6"/>
  <c r="G2" i="24"/>
  <c r="B12" i="5"/>
  <c r="G9" i="5"/>
  <c r="H9" i="5" s="1"/>
  <c r="B16" i="5" s="1"/>
  <c r="J1" i="5"/>
  <c r="A16" i="5" l="1"/>
  <c r="AF5" i="19"/>
  <c r="AG5" i="19"/>
  <c r="AF6" i="19"/>
  <c r="AG6" i="19"/>
  <c r="AF7" i="19"/>
  <c r="AG7" i="19"/>
  <c r="AF8" i="19"/>
  <c r="AG8" i="19"/>
  <c r="AF9" i="19"/>
  <c r="AG9" i="19"/>
  <c r="AF10" i="19"/>
  <c r="AG10" i="19"/>
  <c r="AF11" i="19"/>
  <c r="AG11" i="19"/>
  <c r="AF12" i="19"/>
  <c r="AG12" i="19"/>
  <c r="AF13" i="19"/>
  <c r="AG13" i="19"/>
  <c r="AF14" i="19"/>
  <c r="AG14" i="19"/>
  <c r="AF15" i="19"/>
  <c r="AG15" i="19"/>
  <c r="AG4" i="19"/>
  <c r="AF4" i="19"/>
  <c r="AE7" i="19"/>
  <c r="AE8" i="19"/>
  <c r="AE9" i="19"/>
  <c r="AE10" i="19"/>
  <c r="AE11" i="19"/>
  <c r="AE12" i="19"/>
  <c r="AE13" i="19"/>
  <c r="AE14" i="19"/>
  <c r="AE15" i="19"/>
  <c r="AE5" i="19"/>
  <c r="AE6" i="19"/>
  <c r="AC13" i="19"/>
  <c r="S2" i="22"/>
  <c r="R2" i="22"/>
  <c r="Q2" i="22"/>
  <c r="P2" i="22"/>
  <c r="N2" i="22"/>
  <c r="T2" i="22"/>
  <c r="S3" i="22" a="1"/>
  <c r="S5" i="5" s="1"/>
  <c r="R3" i="22" a="1"/>
  <c r="R5" i="5" s="1"/>
  <c r="Q3" i="22" a="1"/>
  <c r="Q5" i="5" s="1"/>
  <c r="O3" i="22" a="1"/>
  <c r="O5" i="5" s="1"/>
  <c r="N3" i="22" a="1"/>
  <c r="N5" i="5" s="1"/>
  <c r="W3" i="3" a="1"/>
  <c r="O4" i="5" s="1"/>
  <c r="X3" i="3" a="1"/>
  <c r="P4" i="5" s="1"/>
  <c r="Y3" i="3" a="1"/>
  <c r="Q4" i="5" s="1"/>
  <c r="Z3" i="3" a="1"/>
  <c r="R4" i="5" s="1"/>
  <c r="AA3" i="3" a="1"/>
  <c r="S4" i="5" s="1"/>
  <c r="AB3" i="3" a="1"/>
  <c r="T4" i="5" s="1"/>
  <c r="V3" i="3" a="1"/>
  <c r="N4" i="5" s="1"/>
  <c r="P3" i="22" a="1"/>
  <c r="P5" i="5" s="1"/>
  <c r="T3" i="22" a="1"/>
  <c r="T5" i="5" s="1"/>
  <c r="AA4" i="4" a="1"/>
  <c r="S3" i="5" s="1"/>
  <c r="AB4" i="4" a="1"/>
  <c r="T3" i="5" s="1"/>
  <c r="Z4" i="4" a="1"/>
  <c r="R3" i="5" s="1"/>
  <c r="Y4" i="4" a="1"/>
  <c r="Q3" i="5" s="1"/>
  <c r="X4" i="4" a="1"/>
  <c r="P3" i="5" s="1"/>
  <c r="V4" i="4" a="1"/>
  <c r="N3" i="5" s="1"/>
  <c r="W4" i="4" a="1"/>
  <c r="O3" i="5" s="1"/>
  <c r="R6" i="5" l="1" a="1"/>
  <c r="I8" i="2" s="1"/>
  <c r="O6" i="5" a="1"/>
  <c r="F8" i="2" s="1"/>
  <c r="E6" i="6" s="1"/>
  <c r="T6" i="5" a="1"/>
  <c r="A4" i="5" s="1"/>
  <c r="A17" i="5"/>
  <c r="N6" i="5" a="1"/>
  <c r="C4" i="5" s="1"/>
  <c r="Q6" i="5" a="1"/>
  <c r="H8" i="2" s="1"/>
  <c r="P6" i="5" a="1"/>
  <c r="G8" i="2" s="1"/>
  <c r="S6" i="5" a="1"/>
  <c r="B4" i="5" s="1"/>
  <c r="D22" i="7"/>
  <c r="F5" i="2" l="1"/>
  <c r="F4" i="5"/>
  <c r="E4" i="5"/>
  <c r="H49" i="5" s="1"/>
  <c r="E5" i="2"/>
  <c r="D4" i="5"/>
  <c r="H48" i="5" s="1"/>
  <c r="E8" i="2"/>
  <c r="H50" i="5" l="1"/>
  <c r="H51" i="5" l="1"/>
  <c r="H5" i="5" s="1"/>
  <c r="H52" i="5"/>
  <c r="F7" i="5"/>
  <c r="I5" i="5" l="1"/>
  <c r="C12" i="5"/>
  <c r="C16" i="5" l="1"/>
  <c r="C7" i="5" l="1"/>
  <c r="E12" i="6" s="1"/>
  <c r="D16" i="5"/>
  <c r="D12" i="5"/>
  <c r="A12" i="5"/>
  <c r="E10" i="5"/>
  <c r="F10" i="5" s="1"/>
  <c r="B19" i="7" s="1"/>
  <c r="E7" i="5"/>
  <c r="B7" i="5"/>
  <c r="E11" i="6" s="1"/>
  <c r="A7" i="5"/>
  <c r="E18" i="6" l="1"/>
  <c r="B1" i="7"/>
  <c r="E10" i="6"/>
  <c r="D7" i="5"/>
  <c r="C13" i="5"/>
  <c r="B46" i="5" s="1"/>
  <c r="C17" i="5"/>
  <c r="J4" i="5" l="1"/>
  <c r="H4" i="5"/>
  <c r="H7" i="5" s="1"/>
  <c r="F23" i="2" s="1"/>
  <c r="I4" i="5"/>
  <c r="I7" i="5" s="1" a="1"/>
  <c r="G23" i="2" s="1"/>
  <c r="B35" i="5"/>
  <c r="B36" i="5" s="1"/>
  <c r="E5" i="6"/>
  <c r="E13" i="6"/>
  <c r="E4" i="6"/>
  <c r="J6" i="5" l="1"/>
  <c r="J5" i="5"/>
  <c r="J7" i="5"/>
  <c r="A10" i="5" s="1"/>
  <c r="B17" i="7" s="1"/>
  <c r="I52" i="5"/>
  <c r="I6" i="5" s="1"/>
  <c r="E9" i="6"/>
  <c r="B47" i="5"/>
  <c r="E8" i="6"/>
  <c r="E7" i="6"/>
  <c r="C47" i="5"/>
  <c r="C36" i="5"/>
  <c r="D10" i="5" l="1"/>
  <c r="C10" i="5" s="1"/>
  <c r="B10" i="5"/>
  <c r="E14" i="6"/>
  <c r="I51" i="5"/>
  <c r="H6" i="5" s="1"/>
  <c r="H12" i="5"/>
  <c r="H13" i="5" s="1"/>
  <c r="V22" i="2" s="1"/>
  <c r="H17" i="5" l="1"/>
  <c r="H19" i="5" s="1"/>
  <c r="A26" i="5"/>
  <c r="B18" i="7"/>
  <c r="B20" i="7" s="1"/>
  <c r="U21" i="2"/>
  <c r="E16" i="6"/>
  <c r="A30" i="5"/>
  <c r="P16" i="2" s="1"/>
  <c r="C26" i="5"/>
  <c r="V21" i="2"/>
  <c r="E17" i="6"/>
  <c r="H14" i="5"/>
  <c r="H15" i="5" s="1"/>
  <c r="V23" i="2" s="1"/>
  <c r="E15" i="6"/>
  <c r="C28" i="5" l="1"/>
  <c r="E28" i="5" s="1"/>
  <c r="G22" i="5" s="1"/>
  <c r="G24" i="5" s="1"/>
  <c r="G26" i="5" s="1"/>
  <c r="B22" i="7"/>
  <c r="B21" i="7"/>
  <c r="E22" i="6"/>
  <c r="D22" i="6"/>
  <c r="E26" i="5"/>
  <c r="A28" i="5" l="1"/>
  <c r="P12" i="2" s="1"/>
  <c r="E16" i="5"/>
  <c r="D20" i="6"/>
  <c r="C30" i="5"/>
  <c r="E30" i="5" s="1"/>
  <c r="D30" i="5"/>
  <c r="E20" i="6"/>
  <c r="E21" i="6" l="1"/>
  <c r="B2" i="7"/>
  <c r="B13" i="7" s="1"/>
  <c r="Q12" i="2"/>
  <c r="F16" i="5" s="1"/>
  <c r="E17" i="5" s="1"/>
  <c r="D21" i="6"/>
  <c r="H16" i="5"/>
  <c r="H18" i="5" s="1"/>
  <c r="V26" i="2" s="1"/>
  <c r="I27" i="5"/>
  <c r="F30" i="5"/>
  <c r="O12" i="2" s="1"/>
  <c r="N12" i="2"/>
  <c r="B4" i="7" l="1"/>
  <c r="B3" i="7"/>
  <c r="B14" i="7"/>
  <c r="N6" i="24" s="1"/>
  <c r="C14" i="24"/>
  <c r="A32" i="5"/>
  <c r="B32" i="5"/>
  <c r="C32" i="5"/>
  <c r="D32" i="5"/>
  <c r="V24" i="2"/>
  <c r="V25" i="2" s="1"/>
  <c r="D14" i="24" l="1"/>
  <c r="I14" i="24"/>
  <c r="J14" i="24" s="1"/>
  <c r="A33" i="5"/>
  <c r="C49" i="5" s="1"/>
  <c r="C33" i="5"/>
  <c r="B6" i="7" s="1"/>
  <c r="B8" i="7" l="1"/>
  <c r="B10" i="7"/>
  <c r="B7" i="7"/>
  <c r="B9" i="7"/>
  <c r="C38" i="5"/>
  <c r="E32" i="5"/>
  <c r="C21" i="5" s="1"/>
  <c r="E51" i="5"/>
  <c r="C40" i="5"/>
  <c r="B11" i="7" l="1"/>
  <c r="F6" i="24" s="1"/>
  <c r="C18" i="5"/>
  <c r="N4" i="24" l="1"/>
  <c r="E19" i="5" l="1"/>
  <c r="E31" i="6" s="1"/>
  <c r="C19" i="5" l="1"/>
  <c r="A19" i="5" s="1"/>
  <c r="D31" i="6"/>
  <c r="E35" i="5" l="1"/>
  <c r="E18" i="5"/>
  <c r="E36" i="5" l="1"/>
  <c r="E38" i="5"/>
  <c r="A38" i="5" s="1"/>
  <c r="E40" i="5"/>
  <c r="A40" i="5" s="1"/>
  <c r="G36" i="5"/>
  <c r="F36" i="5"/>
  <c r="C44" i="5"/>
  <c r="F44" i="5" l="1"/>
  <c r="E44" i="5"/>
  <c r="U16" i="2"/>
  <c r="V16" i="2"/>
  <c r="C23" i="5"/>
  <c r="E21" i="5"/>
  <c r="E23" i="5" s="1"/>
  <c r="B42" i="5"/>
  <c r="M21" i="2" s="1"/>
  <c r="E23" i="6" s="1"/>
  <c r="G38" i="5"/>
  <c r="A42" i="5"/>
  <c r="L21" i="2" s="1"/>
  <c r="D23" i="6" s="1"/>
  <c r="H38" i="5"/>
  <c r="G30" i="5"/>
  <c r="D42" i="5"/>
  <c r="C42" i="5"/>
  <c r="E42" i="5"/>
  <c r="A21" i="5" l="1"/>
  <c r="B44" i="5"/>
  <c r="A44" i="5"/>
  <c r="H32" i="5"/>
  <c r="H34" i="5" s="1"/>
  <c r="G32" i="5"/>
  <c r="G34" i="5" s="1"/>
  <c r="U7" i="2" s="1"/>
  <c r="G42" i="5" l="1"/>
  <c r="G44" i="5" s="1"/>
  <c r="G45" i="5" s="1"/>
  <c r="A22" i="5"/>
  <c r="U18" i="2" s="1"/>
  <c r="E14" i="5"/>
  <c r="B22" i="5"/>
  <c r="V18" i="2" s="1"/>
  <c r="C14" i="5"/>
  <c r="E46" i="5" l="1"/>
  <c r="B14" i="5"/>
  <c r="E49" i="5" l="1"/>
  <c r="A49" i="5" s="1"/>
  <c r="E47" i="5"/>
  <c r="L23" i="2" s="1"/>
  <c r="F47" i="5"/>
  <c r="M23" i="2" s="1"/>
  <c r="E24" i="6" s="1"/>
  <c r="C51" i="5"/>
  <c r="A51" i="5" s="1"/>
  <c r="C55" i="5"/>
  <c r="E55" i="5" l="1"/>
  <c r="L25" i="2" s="1"/>
  <c r="F55" i="5"/>
  <c r="M25" i="2" s="1"/>
  <c r="E25" i="6" s="1"/>
  <c r="C53" i="5"/>
  <c r="Q23" i="2" s="1"/>
  <c r="D28" i="6" s="1"/>
  <c r="D53" i="5"/>
  <c r="R23" i="2" s="1"/>
  <c r="E28" i="6" s="1"/>
  <c r="E53" i="5"/>
  <c r="G5" i="2"/>
  <c r="D24" i="6"/>
  <c r="B53" i="5"/>
  <c r="R21" i="2" s="1"/>
  <c r="E27" i="6" s="1"/>
  <c r="A53" i="5"/>
  <c r="Q21" i="2" s="1"/>
  <c r="B55" i="5" l="1"/>
  <c r="R25" i="2" s="1"/>
  <c r="E29" i="6" s="1"/>
  <c r="A55" i="5"/>
  <c r="Q25" i="2" s="1"/>
  <c r="D27" i="6"/>
  <c r="U9" i="2"/>
  <c r="E32" i="6" s="1"/>
  <c r="U13" i="2"/>
  <c r="D25" i="6"/>
  <c r="E26" i="6" s="1"/>
  <c r="O21" i="2"/>
  <c r="U4" i="2" l="1"/>
  <c r="U5" i="2" s="1"/>
  <c r="D29" i="6"/>
  <c r="E30" i="6" s="1"/>
  <c r="E33" i="6" s="1"/>
  <c r="O24" i="2"/>
  <c r="V13" i="2" s="1"/>
  <c r="U11" i="2" l="1"/>
  <c r="E3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<sst xmlns="http://schemas.openxmlformats.org/spreadsheetml/2006/main" count="583" uniqueCount="450">
  <si>
    <t>Duck</t>
  </si>
  <si>
    <t>Waxwing</t>
  </si>
  <si>
    <t>Owl</t>
  </si>
  <si>
    <t>Partridge</t>
  </si>
  <si>
    <t>Ostrich</t>
  </si>
  <si>
    <t>Merlin</t>
  </si>
  <si>
    <t>Linnet</t>
  </si>
  <si>
    <t>Oriole</t>
  </si>
  <si>
    <t>Chickadee</t>
  </si>
  <si>
    <t>Brant</t>
  </si>
  <si>
    <t>Ibis</t>
  </si>
  <si>
    <t>Lark</t>
  </si>
  <si>
    <t>Pelican</t>
  </si>
  <si>
    <t>Hawk</t>
  </si>
  <si>
    <t>Hen</t>
  </si>
  <si>
    <t>Flicker</t>
  </si>
  <si>
    <t>Osprey</t>
  </si>
  <si>
    <t>Parakeet</t>
  </si>
  <si>
    <t>Eagle</t>
  </si>
  <si>
    <t>Dove</t>
  </si>
  <si>
    <t>Peacock</t>
  </si>
  <si>
    <t>Swift</t>
  </si>
  <si>
    <t>Squab</t>
  </si>
  <si>
    <t>Kingbird</t>
  </si>
  <si>
    <t>Rook</t>
  </si>
  <si>
    <t>Teal</t>
  </si>
  <si>
    <t>Grosbeak</t>
  </si>
  <si>
    <t>Tipo</t>
  </si>
  <si>
    <t>Formação</t>
  </si>
  <si>
    <t>Al</t>
  </si>
  <si>
    <t>Aço</t>
  </si>
  <si>
    <t>Bitola
MCM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</si>
  <si>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(mm)</t>
    </r>
  </si>
  <si>
    <r>
      <t>N.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Fios</t>
    </r>
  </si>
  <si>
    <r>
      <t>Seção (mm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</si>
  <si>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Alumínio (Al)</t>
  </si>
  <si>
    <t xml:space="preserve">Aço </t>
  </si>
  <si>
    <t>Ortolan</t>
  </si>
  <si>
    <t>Curlew</t>
  </si>
  <si>
    <t>Scoter</t>
  </si>
  <si>
    <t>Egret</t>
  </si>
  <si>
    <t>Goose</t>
  </si>
  <si>
    <t>Flamingo</t>
  </si>
  <si>
    <t>Gannet</t>
  </si>
  <si>
    <t>Stilt</t>
  </si>
  <si>
    <t>Starling</t>
  </si>
  <si>
    <t>Redwing</t>
  </si>
  <si>
    <t>Cuckoo</t>
  </si>
  <si>
    <t>Drake</t>
  </si>
  <si>
    <t>Mallard</t>
  </si>
  <si>
    <t>Coot</t>
  </si>
  <si>
    <t>Tern</t>
  </si>
  <si>
    <t>Condor</t>
  </si>
  <si>
    <t>Ruddy</t>
  </si>
  <si>
    <t>Canary</t>
  </si>
  <si>
    <t>Rail</t>
  </si>
  <si>
    <t>Cardinal</t>
  </si>
  <si>
    <t>Bluejay</t>
  </si>
  <si>
    <t>Finch</t>
  </si>
  <si>
    <t>Bunting</t>
  </si>
  <si>
    <t>Grackle</t>
  </si>
  <si>
    <t>Bittern</t>
  </si>
  <si>
    <t>Pheasant</t>
  </si>
  <si>
    <t>Dipper</t>
  </si>
  <si>
    <t>Martin</t>
  </si>
  <si>
    <t>Bobolink</t>
  </si>
  <si>
    <t>Plover</t>
  </si>
  <si>
    <t>Nuthatch</t>
  </si>
  <si>
    <t>Parrot</t>
  </si>
  <si>
    <t>Lapwing</t>
  </si>
  <si>
    <t>Falcon</t>
  </si>
  <si>
    <t>Chukar</t>
  </si>
  <si>
    <t>Bluebird</t>
  </si>
  <si>
    <t>Kiwi</t>
  </si>
  <si>
    <t>Thrasher</t>
  </si>
  <si>
    <t>Diâmetro
(mm)</t>
  </si>
  <si>
    <t>Diâmetro
Alma
(mm)</t>
  </si>
  <si>
    <t>Ampacidade
(A)</t>
  </si>
  <si>
    <t>RMG
(m)</t>
  </si>
  <si>
    <r>
      <t>Rcc
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
(</t>
    </r>
    <r>
      <rPr>
        <sz val="11"/>
        <color theme="1"/>
        <rFont val="Symbol"/>
        <family val="1"/>
        <charset val="2"/>
      </rPr>
      <t>W</t>
    </r>
    <r>
      <rPr>
        <sz val="11"/>
        <color theme="1"/>
        <rFont val="Calibri"/>
        <family val="2"/>
      </rPr>
      <t>/km)</t>
    </r>
  </si>
  <si>
    <r>
      <t>Rca
25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/75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
(</t>
    </r>
    <r>
      <rPr>
        <sz val="11"/>
        <color theme="1"/>
        <rFont val="Symbol"/>
        <family val="1"/>
        <charset val="2"/>
      </rPr>
      <t>W</t>
    </r>
    <r>
      <rPr>
        <sz val="11"/>
        <color theme="1"/>
        <rFont val="Calibri"/>
        <family val="2"/>
      </rPr>
      <t>/km)</t>
    </r>
  </si>
  <si>
    <t>Wood Duck</t>
  </si>
  <si>
    <t>4/0</t>
  </si>
  <si>
    <t>Penguin</t>
  </si>
  <si>
    <t>Turkey</t>
  </si>
  <si>
    <t>Thrush</t>
  </si>
  <si>
    <t>Swan</t>
  </si>
  <si>
    <t>Swallow</t>
  </si>
  <si>
    <t>Sparrow</t>
  </si>
  <si>
    <t>Robin</t>
  </si>
  <si>
    <t>1/0</t>
  </si>
  <si>
    <t>Raven</t>
  </si>
  <si>
    <t>2/0</t>
  </si>
  <si>
    <t>Quail</t>
  </si>
  <si>
    <t>3/0</t>
  </si>
  <si>
    <t>Pigeon</t>
  </si>
  <si>
    <t>Cabo</t>
  </si>
  <si>
    <t>Peachbell</t>
  </si>
  <si>
    <t>Rose</t>
  </si>
  <si>
    <t>Lily</t>
  </si>
  <si>
    <t>Iris</t>
  </si>
  <si>
    <t>Pansy</t>
  </si>
  <si>
    <t>Poppy</t>
  </si>
  <si>
    <t>Aster</t>
  </si>
  <si>
    <t>Phlox</t>
  </si>
  <si>
    <t>Oxlip</t>
  </si>
  <si>
    <t>Item</t>
  </si>
  <si>
    <t>Sneezewort</t>
  </si>
  <si>
    <t>Valerian</t>
  </si>
  <si>
    <t>Daisy</t>
  </si>
  <si>
    <t>Laurel</t>
  </si>
  <si>
    <t>Peony</t>
  </si>
  <si>
    <t>Tulip</t>
  </si>
  <si>
    <t>Daffodil</t>
  </si>
  <si>
    <t>Canna</t>
  </si>
  <si>
    <t>Goldentuft</t>
  </si>
  <si>
    <t>Cosmos</t>
  </si>
  <si>
    <t>Syringa</t>
  </si>
  <si>
    <t>Zinnia</t>
  </si>
  <si>
    <t>Hyacinth</t>
  </si>
  <si>
    <t>Meadowsweet</t>
  </si>
  <si>
    <t>Orchid</t>
  </si>
  <si>
    <t>Heuchera</t>
  </si>
  <si>
    <t>Petunia</t>
  </si>
  <si>
    <t>Cattail</t>
  </si>
  <si>
    <t>Arbutus</t>
  </si>
  <si>
    <t>Lilac</t>
  </si>
  <si>
    <t>Cockscomb</t>
  </si>
  <si>
    <t>Snapdragon</t>
  </si>
  <si>
    <t>Magnolia</t>
  </si>
  <si>
    <t>Goldenrod</t>
  </si>
  <si>
    <t>Hawkweed</t>
  </si>
  <si>
    <t>Camelia</t>
  </si>
  <si>
    <t>Bluebell</t>
  </si>
  <si>
    <t>Larkspur</t>
  </si>
  <si>
    <t>Marigold</t>
  </si>
  <si>
    <t>Hawthorn</t>
  </si>
  <si>
    <t>Narcissus</t>
  </si>
  <si>
    <t>Columbine</t>
  </si>
  <si>
    <t>Carnation</t>
  </si>
  <si>
    <t>Gladiolus</t>
  </si>
  <si>
    <t>Coreopsis</t>
  </si>
  <si>
    <t>Jessamine</t>
  </si>
  <si>
    <t>Cowslip</t>
  </si>
  <si>
    <t>Sagebrusch</t>
  </si>
  <si>
    <t>Lupine</t>
  </si>
  <si>
    <t>Bitterroot</t>
  </si>
  <si>
    <t>Trillium</t>
  </si>
  <si>
    <t>Bluebonnet</t>
  </si>
  <si>
    <t>Dahlia</t>
  </si>
  <si>
    <t>Mistletoe</t>
  </si>
  <si>
    <t>Verbena</t>
  </si>
  <si>
    <t>Flag</t>
  </si>
  <si>
    <t>Violet</t>
  </si>
  <si>
    <t>Nasturtium</t>
  </si>
  <si>
    <t>Anemone</t>
  </si>
  <si>
    <t>Bitola
MCM/
AWG</t>
  </si>
  <si>
    <t xml:space="preserve"> </t>
  </si>
  <si>
    <t>e</t>
  </si>
  <si>
    <t>s</t>
  </si>
  <si>
    <t>Estrutura</t>
  </si>
  <si>
    <t>Ampacidade
[A]</t>
  </si>
  <si>
    <t>d
[mm]</t>
  </si>
  <si>
    <t>Ds
[mm]</t>
  </si>
  <si>
    <t>CONDUTOR</t>
  </si>
  <si>
    <t>Bitola</t>
  </si>
  <si>
    <r>
      <t>D</t>
    </r>
    <r>
      <rPr>
        <b/>
        <i/>
        <vertAlign val="subscript"/>
        <sz val="11"/>
        <color theme="1"/>
        <rFont val="Calibri"/>
        <family val="2"/>
        <scheme val="minor"/>
      </rPr>
      <t xml:space="preserve">AB </t>
    </r>
    <r>
      <rPr>
        <b/>
        <sz val="11"/>
        <color theme="1"/>
        <rFont val="Calibri"/>
        <family val="2"/>
        <scheme val="minor"/>
      </rPr>
      <t>[m]</t>
    </r>
  </si>
  <si>
    <r>
      <t>D</t>
    </r>
    <r>
      <rPr>
        <b/>
        <i/>
        <vertAlign val="subscript"/>
        <sz val="11"/>
        <color theme="1"/>
        <rFont val="Calibri"/>
        <family val="2"/>
        <scheme val="minor"/>
      </rPr>
      <t xml:space="preserve">BC </t>
    </r>
    <r>
      <rPr>
        <b/>
        <sz val="11"/>
        <color theme="1"/>
        <rFont val="Calibri"/>
        <family val="2"/>
        <scheme val="minor"/>
      </rPr>
      <t>[m]</t>
    </r>
  </si>
  <si>
    <r>
      <t>D</t>
    </r>
    <r>
      <rPr>
        <b/>
        <i/>
        <vertAlign val="subscript"/>
        <sz val="11"/>
        <color theme="1"/>
        <rFont val="Calibri"/>
        <family val="2"/>
        <scheme val="minor"/>
      </rPr>
      <t xml:space="preserve">CA </t>
    </r>
    <r>
      <rPr>
        <b/>
        <sz val="11"/>
        <color theme="1"/>
        <rFont val="Calibri"/>
        <family val="2"/>
        <scheme val="minor"/>
      </rPr>
      <t>[m]</t>
    </r>
  </si>
  <si>
    <t>ESTRUTURA</t>
  </si>
  <si>
    <t>MEIO AMBIENTE (Se diferente de ar)</t>
  </si>
  <si>
    <r>
      <t>e</t>
    </r>
    <r>
      <rPr>
        <b/>
        <vertAlign val="subscript"/>
        <sz val="11"/>
        <color theme="1"/>
        <rFont val="Calibri"/>
        <family val="2"/>
        <scheme val="minor"/>
      </rPr>
      <t>R</t>
    </r>
  </si>
  <si>
    <t>Dados</t>
  </si>
  <si>
    <t>Condutor</t>
  </si>
  <si>
    <t xml:space="preserve">Tipo </t>
  </si>
  <si>
    <r>
      <t>R[</t>
    </r>
    <r>
      <rPr>
        <sz val="11"/>
        <color theme="1"/>
        <rFont val="Symbol"/>
        <family val="1"/>
        <charset val="2"/>
      </rPr>
      <t>W</t>
    </r>
    <r>
      <rPr>
        <sz val="11"/>
        <color theme="1"/>
        <rFont val="Calibri"/>
        <family val="2"/>
        <scheme val="minor"/>
      </rPr>
      <t>/km]</t>
    </r>
  </si>
  <si>
    <t>Ds [m]</t>
  </si>
  <si>
    <t>d [m]</t>
  </si>
  <si>
    <r>
      <t>D</t>
    </r>
    <r>
      <rPr>
        <vertAlign val="subscript"/>
        <sz val="11"/>
        <color theme="1"/>
        <rFont val="Calibri"/>
        <family val="2"/>
        <scheme val="minor"/>
      </rPr>
      <t>eq</t>
    </r>
  </si>
  <si>
    <r>
      <t>D</t>
    </r>
    <r>
      <rPr>
        <vertAlign val="subscript"/>
        <sz val="11"/>
        <color theme="1"/>
        <rFont val="Calibri"/>
        <family val="2"/>
        <scheme val="minor"/>
      </rPr>
      <t>AB</t>
    </r>
  </si>
  <si>
    <r>
      <t>D</t>
    </r>
    <r>
      <rPr>
        <vertAlign val="subscript"/>
        <sz val="11"/>
        <color theme="1"/>
        <rFont val="Calibri"/>
        <family val="2"/>
        <scheme val="minor"/>
      </rPr>
      <t>BC</t>
    </r>
  </si>
  <si>
    <r>
      <t>D</t>
    </r>
    <r>
      <rPr>
        <vertAlign val="subscript"/>
        <sz val="11"/>
        <color theme="1"/>
        <rFont val="Calibri"/>
        <family val="2"/>
        <scheme val="minor"/>
      </rPr>
      <t>CA</t>
    </r>
  </si>
  <si>
    <r>
      <rPr>
        <b/>
        <i/>
        <sz val="11"/>
        <color theme="1"/>
        <rFont val="Calibri"/>
        <family val="2"/>
        <scheme val="minor"/>
      </rPr>
      <t>f</t>
    </r>
    <r>
      <rPr>
        <b/>
        <vertAlign val="subscript"/>
        <sz val="11"/>
        <color theme="1"/>
        <rFont val="Calibri"/>
        <family val="2"/>
        <scheme val="minor"/>
      </rPr>
      <t xml:space="preserve">G </t>
    </r>
    <r>
      <rPr>
        <b/>
        <sz val="11"/>
        <color theme="1"/>
        <rFont val="Calibri"/>
        <family val="2"/>
        <scheme val="minor"/>
      </rPr>
      <t>[Hz]</t>
    </r>
  </si>
  <si>
    <r>
      <t xml:space="preserve">l </t>
    </r>
    <r>
      <rPr>
        <b/>
        <sz val="11"/>
        <color theme="1"/>
        <rFont val="Times New Roman"/>
        <family val="1"/>
      </rPr>
      <t>[km]</t>
    </r>
  </si>
  <si>
    <t>Linha</t>
  </si>
  <si>
    <t>Ambiente</t>
  </si>
  <si>
    <t>G[S/km]</t>
  </si>
  <si>
    <t>L[H/km]</t>
  </si>
  <si>
    <t>C[F/km]</t>
  </si>
  <si>
    <r>
      <rPr>
        <i/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[Hz]</t>
    </r>
  </si>
  <si>
    <r>
      <t>Y</t>
    </r>
    <r>
      <rPr>
        <vertAlign val="subscript"/>
        <sz val="11"/>
        <color theme="1"/>
        <rFont val="Calibri"/>
        <family val="2"/>
        <scheme val="minor"/>
      </rPr>
      <t>L</t>
    </r>
  </si>
  <si>
    <r>
      <t>Z</t>
    </r>
    <r>
      <rPr>
        <vertAlign val="subscript"/>
        <sz val="11"/>
        <color theme="1"/>
        <rFont val="Calibri"/>
        <family val="2"/>
        <scheme val="minor"/>
      </rPr>
      <t xml:space="preserve">L </t>
    </r>
  </si>
  <si>
    <r>
      <t>Z</t>
    </r>
    <r>
      <rPr>
        <vertAlign val="subscript"/>
        <sz val="11"/>
        <color theme="1"/>
        <rFont val="Calibri"/>
        <family val="2"/>
        <scheme val="minor"/>
      </rPr>
      <t>o</t>
    </r>
    <r>
      <rPr>
        <vertAlign val="superscript"/>
        <sz val="11"/>
        <color theme="1"/>
        <rFont val="Calibri"/>
        <family val="2"/>
        <scheme val="minor"/>
      </rPr>
      <t>2</t>
    </r>
    <r>
      <rPr>
        <vertAlign val="subscript"/>
        <sz val="11"/>
        <color theme="1"/>
        <rFont val="Calibri"/>
        <family val="2"/>
        <scheme val="minor"/>
      </rPr>
      <t xml:space="preserve"> </t>
    </r>
  </si>
  <si>
    <r>
      <t>Z</t>
    </r>
    <r>
      <rPr>
        <vertAlign val="subscript"/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 xml:space="preserve"> </t>
    </r>
  </si>
  <si>
    <r>
      <rPr>
        <sz val="11"/>
        <color theme="1"/>
        <rFont val="Symbol"/>
        <family val="1"/>
        <charset val="2"/>
      </rPr>
      <t>g</t>
    </r>
    <r>
      <rPr>
        <vertAlign val="superscript"/>
        <sz val="11"/>
        <color theme="1"/>
        <rFont val="Calibri"/>
        <family val="2"/>
      </rPr>
      <t>2</t>
    </r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</si>
  <si>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/>
    </r>
  </si>
  <si>
    <r>
      <t>Z</t>
    </r>
    <r>
      <rPr>
        <vertAlign val="subscript"/>
        <sz val="11"/>
        <color theme="1"/>
        <rFont val="Calibri"/>
        <family val="2"/>
        <scheme val="minor"/>
      </rPr>
      <t xml:space="preserve">S </t>
    </r>
  </si>
  <si>
    <r>
      <rPr>
        <i/>
        <sz val="11"/>
        <color theme="1"/>
        <rFont val="Times New Roman"/>
        <family val="1"/>
      </rPr>
      <t>l</t>
    </r>
    <r>
      <rPr>
        <vertAlign val="sub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[km]</t>
    </r>
  </si>
  <si>
    <r>
      <t>Z</t>
    </r>
    <r>
      <rPr>
        <vertAlign val="subscript"/>
        <sz val="11"/>
        <color theme="1"/>
        <rFont val="Calibri"/>
        <family val="2"/>
        <scheme val="minor"/>
      </rPr>
      <t xml:space="preserve">in </t>
    </r>
  </si>
  <si>
    <r>
      <t>V</t>
    </r>
    <r>
      <rPr>
        <vertAlign val="subscript"/>
        <sz val="11"/>
        <color theme="1"/>
        <rFont val="Calibri"/>
        <family val="2"/>
        <scheme val="minor"/>
      </rPr>
      <t xml:space="preserve">C </t>
    </r>
  </si>
  <si>
    <r>
      <t>Z</t>
    </r>
    <r>
      <rPr>
        <vertAlign val="subscript"/>
        <sz val="11"/>
        <color theme="1"/>
        <rFont val="Calibri"/>
        <family val="2"/>
        <scheme val="minor"/>
      </rPr>
      <t xml:space="preserve">C </t>
    </r>
  </si>
  <si>
    <r>
      <rPr>
        <sz val="11"/>
        <color theme="1"/>
        <rFont val="Arial"/>
        <family val="2"/>
      </rPr>
      <t>α</t>
    </r>
    <r>
      <rPr>
        <i/>
        <sz val="11"/>
        <color theme="1"/>
        <rFont val="Times New Roman"/>
        <family val="1"/>
      </rPr>
      <t>l</t>
    </r>
  </si>
  <si>
    <r>
      <rPr>
        <sz val="11"/>
        <color theme="1"/>
        <rFont val="Symbol"/>
        <family val="1"/>
        <charset val="2"/>
      </rPr>
      <t>b</t>
    </r>
    <r>
      <rPr>
        <i/>
        <sz val="11"/>
        <color theme="1"/>
        <rFont val="Times New Roman"/>
        <family val="1"/>
      </rPr>
      <t>l</t>
    </r>
  </si>
  <si>
    <r>
      <rPr>
        <sz val="11"/>
        <color theme="1"/>
        <rFont val="Calibri"/>
        <family val="2"/>
      </rPr>
      <t>cosh</t>
    </r>
    <r>
      <rPr>
        <i/>
        <sz val="11"/>
        <color theme="1"/>
        <rFont val="Symbol"/>
        <family val="1"/>
        <charset val="2"/>
      </rPr>
      <t>g</t>
    </r>
    <r>
      <rPr>
        <i/>
        <sz val="11"/>
        <color theme="1"/>
        <rFont val="Times New Roman"/>
        <family val="1"/>
      </rPr>
      <t>l</t>
    </r>
  </si>
  <si>
    <t>α</t>
  </si>
  <si>
    <t>b</t>
  </si>
  <si>
    <r>
      <rPr>
        <sz val="11"/>
        <color theme="1"/>
        <rFont val="Calibri"/>
        <family val="2"/>
      </rPr>
      <t>senh</t>
    </r>
    <r>
      <rPr>
        <i/>
        <sz val="11"/>
        <color theme="1"/>
        <rFont val="Symbol"/>
        <family val="1"/>
        <charset val="2"/>
      </rPr>
      <t>g</t>
    </r>
    <r>
      <rPr>
        <i/>
        <sz val="11"/>
        <color theme="1"/>
        <rFont val="Times New Roman"/>
        <family val="1"/>
      </rPr>
      <t>l</t>
    </r>
  </si>
  <si>
    <r>
      <rPr>
        <sz val="11"/>
        <color theme="1"/>
        <rFont val="Calibri"/>
        <family val="2"/>
      </rPr>
      <t>Tanh</t>
    </r>
    <r>
      <rPr>
        <i/>
        <sz val="11"/>
        <color theme="1"/>
        <rFont val="Symbol"/>
        <family val="1"/>
        <charset val="2"/>
      </rPr>
      <t>g</t>
    </r>
    <r>
      <rPr>
        <i/>
        <sz val="11"/>
        <color theme="1"/>
        <rFont val="Times New Roman"/>
        <family val="1"/>
      </rPr>
      <t>l</t>
    </r>
  </si>
  <si>
    <r>
      <t>I</t>
    </r>
    <r>
      <rPr>
        <vertAlign val="subscript"/>
        <sz val="11"/>
        <color theme="1"/>
        <rFont val="Calibri"/>
        <family val="2"/>
        <scheme val="minor"/>
      </rPr>
      <t xml:space="preserve">C 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</si>
  <si>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o </t>
    </r>
  </si>
  <si>
    <r>
      <t>V</t>
    </r>
    <r>
      <rPr>
        <vertAlign val="subscript"/>
        <sz val="11"/>
        <color theme="1"/>
        <rFont val="Calibri"/>
        <family val="2"/>
        <scheme val="minor"/>
      </rPr>
      <t xml:space="preserve">o </t>
    </r>
  </si>
  <si>
    <r>
      <t>I</t>
    </r>
    <r>
      <rPr>
        <vertAlign val="subscript"/>
        <sz val="11"/>
        <color theme="1"/>
        <rFont val="Calibri"/>
        <family val="2"/>
        <scheme val="minor"/>
      </rPr>
      <t xml:space="preserve">o </t>
    </r>
  </si>
  <si>
    <r>
      <rPr>
        <b/>
        <sz val="11"/>
        <color theme="1"/>
        <rFont val="Calibri"/>
        <family val="2"/>
        <scheme val="minor"/>
      </rPr>
      <t xml:space="preserve">cos </t>
    </r>
    <r>
      <rPr>
        <b/>
        <sz val="11"/>
        <color theme="1"/>
        <rFont val="Symbol"/>
        <family val="1"/>
        <charset val="2"/>
      </rPr>
      <t>f</t>
    </r>
  </si>
  <si>
    <r>
      <t>Z</t>
    </r>
    <r>
      <rPr>
        <i/>
        <vertAlign val="sub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Tanh</t>
    </r>
    <r>
      <rPr>
        <i/>
        <sz val="11"/>
        <color theme="1"/>
        <rFont val="Symbol"/>
        <family val="1"/>
        <charset val="2"/>
      </rPr>
      <t>g</t>
    </r>
    <r>
      <rPr>
        <i/>
        <sz val="11"/>
        <color theme="1"/>
        <rFont val="Times New Roman"/>
        <family val="1"/>
      </rPr>
      <t>l</t>
    </r>
  </si>
  <si>
    <r>
      <t>Z</t>
    </r>
    <r>
      <rPr>
        <i/>
        <vertAlign val="subscript"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>Tanh</t>
    </r>
    <r>
      <rPr>
        <i/>
        <sz val="11"/>
        <color theme="1"/>
        <rFont val="Symbol"/>
        <family val="1"/>
        <charset val="2"/>
      </rPr>
      <t>g</t>
    </r>
    <r>
      <rPr>
        <i/>
        <sz val="11"/>
        <color theme="1"/>
        <rFont val="Times New Roman"/>
        <family val="1"/>
      </rPr>
      <t>l</t>
    </r>
  </si>
  <si>
    <r>
      <t>Z</t>
    </r>
    <r>
      <rPr>
        <i/>
        <vertAlign val="subscript"/>
        <sz val="11"/>
        <color theme="1"/>
        <rFont val="Calibri"/>
        <family val="2"/>
      </rPr>
      <t>c</t>
    </r>
    <r>
      <rPr>
        <i/>
        <sz val="11"/>
        <color theme="1"/>
        <rFont val="Calibri"/>
        <family val="2"/>
      </rPr>
      <t>+Z</t>
    </r>
    <r>
      <rPr>
        <i/>
        <vertAlign val="sub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Tanh</t>
    </r>
    <r>
      <rPr>
        <i/>
        <sz val="11"/>
        <color theme="1"/>
        <rFont val="Symbol"/>
        <family val="1"/>
        <charset val="2"/>
      </rPr>
      <t>g</t>
    </r>
    <r>
      <rPr>
        <i/>
        <sz val="11"/>
        <color theme="1"/>
        <rFont val="Times New Roman"/>
        <family val="1"/>
      </rPr>
      <t>l</t>
    </r>
  </si>
  <si>
    <r>
      <t>Z</t>
    </r>
    <r>
      <rPr>
        <i/>
        <vertAlign val="subscript"/>
        <sz val="11"/>
        <color theme="1"/>
        <rFont val="Calibri"/>
        <family val="2"/>
      </rPr>
      <t>o</t>
    </r>
    <r>
      <rPr>
        <i/>
        <sz val="11"/>
        <color theme="1"/>
        <rFont val="Calibri"/>
        <family val="2"/>
      </rPr>
      <t>+Z</t>
    </r>
    <r>
      <rPr>
        <i/>
        <vertAlign val="subscript"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>Tanh</t>
    </r>
    <r>
      <rPr>
        <i/>
        <sz val="11"/>
        <color theme="1"/>
        <rFont val="Symbol"/>
        <family val="1"/>
        <charset val="2"/>
      </rPr>
      <t>g</t>
    </r>
    <r>
      <rPr>
        <i/>
        <sz val="11"/>
        <color theme="1"/>
        <rFont val="Times New Roman"/>
        <family val="1"/>
      </rPr>
      <t>l</t>
    </r>
  </si>
  <si>
    <t>CASO 1</t>
  </si>
  <si>
    <r>
      <rPr>
        <sz val="11"/>
        <color theme="1"/>
        <rFont val="Calibri"/>
        <family val="2"/>
      </rPr>
      <t>V</t>
    </r>
    <r>
      <rPr>
        <vertAlign val="subscript"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>cosh</t>
    </r>
    <r>
      <rPr>
        <i/>
        <sz val="11"/>
        <color theme="1"/>
        <rFont val="Symbol"/>
        <family val="1"/>
        <charset val="2"/>
      </rPr>
      <t>g</t>
    </r>
    <r>
      <rPr>
        <i/>
        <sz val="11"/>
        <color theme="1"/>
        <rFont val="Times New Roman"/>
        <family val="1"/>
      </rPr>
      <t>l</t>
    </r>
  </si>
  <si>
    <r>
      <rPr>
        <sz val="11"/>
        <color theme="1"/>
        <rFont val="Calibri"/>
        <family val="2"/>
      </rPr>
      <t>I</t>
    </r>
    <r>
      <rPr>
        <vertAlign val="subscript"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>Z</t>
    </r>
    <r>
      <rPr>
        <vertAlign val="sub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senh</t>
    </r>
    <r>
      <rPr>
        <i/>
        <sz val="11"/>
        <color theme="1"/>
        <rFont val="Symbol"/>
        <family val="1"/>
        <charset val="2"/>
      </rPr>
      <t>g</t>
    </r>
    <r>
      <rPr>
        <i/>
        <sz val="11"/>
        <color theme="1"/>
        <rFont val="Times New Roman"/>
        <family val="1"/>
      </rPr>
      <t>l</t>
    </r>
  </si>
  <si>
    <r>
      <t>V</t>
    </r>
    <r>
      <rPr>
        <vertAlign val="subscript"/>
        <sz val="11"/>
        <color theme="1"/>
        <rFont val="Calibri"/>
        <family val="2"/>
        <scheme val="minor"/>
      </rPr>
      <t xml:space="preserve">of </t>
    </r>
  </si>
  <si>
    <t>Ðf</t>
  </si>
  <si>
    <r>
      <t>S</t>
    </r>
    <r>
      <rPr>
        <vertAlign val="subscript"/>
        <sz val="11"/>
        <color theme="1"/>
        <rFont val="Calibri"/>
        <family val="2"/>
        <scheme val="minor"/>
      </rPr>
      <t>o</t>
    </r>
  </si>
  <si>
    <r>
      <t>|V</t>
    </r>
    <r>
      <rPr>
        <vertAlign val="subscript"/>
        <sz val="11"/>
        <color theme="1"/>
        <rFont val="Calibri"/>
        <family val="2"/>
        <scheme val="minor"/>
      </rPr>
      <t>oL</t>
    </r>
    <r>
      <rPr>
        <sz val="11"/>
        <color theme="1"/>
        <rFont val="Calibri"/>
        <family val="2"/>
        <scheme val="minor"/>
      </rPr>
      <t>| [kV]</t>
    </r>
  </si>
  <si>
    <r>
      <t>|I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|</t>
    </r>
    <r>
      <rPr>
        <vertAlign val="sub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[A]</t>
    </r>
  </si>
  <si>
    <r>
      <rPr>
        <b/>
        <sz val="11"/>
        <color theme="1"/>
        <rFont val="Calibri"/>
        <family val="2"/>
        <scheme val="minor"/>
      </rPr>
      <t>Z</t>
    </r>
    <r>
      <rPr>
        <b/>
        <vertAlign val="subscript"/>
        <sz val="11"/>
        <color theme="1"/>
        <rFont val="Calibri"/>
        <family val="2"/>
        <scheme val="minor"/>
      </rPr>
      <t xml:space="preserve">C </t>
    </r>
    <r>
      <rPr>
        <b/>
        <sz val="11"/>
        <color theme="1"/>
        <rFont val="Calibri"/>
        <family val="2"/>
        <scheme val="minor"/>
      </rPr>
      <t>[</t>
    </r>
    <r>
      <rPr>
        <b/>
        <sz val="11"/>
        <color theme="1"/>
        <rFont val="Symbol"/>
        <family val="1"/>
        <charset val="2"/>
      </rPr>
      <t>W</t>
    </r>
    <r>
      <rPr>
        <b/>
        <sz val="11"/>
        <color theme="1"/>
        <rFont val="Calibri"/>
        <family val="2"/>
        <scheme val="minor"/>
      </rPr>
      <t>]</t>
    </r>
  </si>
  <si>
    <r>
      <t>|V</t>
    </r>
    <r>
      <rPr>
        <b/>
        <vertAlign val="subscript"/>
        <sz val="11"/>
        <color theme="1"/>
        <rFont val="Calibri"/>
        <family val="2"/>
        <scheme val="minor"/>
      </rPr>
      <t>oL</t>
    </r>
    <r>
      <rPr>
        <b/>
        <sz val="11"/>
        <color theme="1"/>
        <rFont val="Calibri"/>
        <family val="2"/>
        <scheme val="minor"/>
      </rPr>
      <t>| [kV]</t>
    </r>
  </si>
  <si>
    <t>CASO 2</t>
  </si>
  <si>
    <r>
      <rPr>
        <sz val="11"/>
        <color theme="1"/>
        <rFont val="Calibri"/>
        <family val="2"/>
      </rPr>
      <t>V</t>
    </r>
    <r>
      <rPr>
        <vertAlign val="sub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cosh</t>
    </r>
    <r>
      <rPr>
        <i/>
        <sz val="11"/>
        <color theme="1"/>
        <rFont val="Symbol"/>
        <family val="1"/>
        <charset val="2"/>
      </rPr>
      <t>g</t>
    </r>
    <r>
      <rPr>
        <i/>
        <sz val="11"/>
        <color theme="1"/>
        <rFont val="Times New Roman"/>
        <family val="1"/>
      </rPr>
      <t>l</t>
    </r>
  </si>
  <si>
    <r>
      <t xml:space="preserve"> -</t>
    </r>
    <r>
      <rPr>
        <sz val="11"/>
        <color theme="1"/>
        <rFont val="Calibri"/>
        <family val="2"/>
      </rPr>
      <t>I</t>
    </r>
    <r>
      <rPr>
        <vertAlign val="sub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Z</t>
    </r>
    <r>
      <rPr>
        <vertAlign val="sub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senh</t>
    </r>
    <r>
      <rPr>
        <i/>
        <sz val="11"/>
        <color theme="1"/>
        <rFont val="Symbol"/>
        <family val="1"/>
        <charset val="2"/>
      </rPr>
      <t>g</t>
    </r>
    <r>
      <rPr>
        <i/>
        <sz val="11"/>
        <color theme="1"/>
        <rFont val="Times New Roman"/>
        <family val="1"/>
      </rPr>
      <t>l</t>
    </r>
  </si>
  <si>
    <r>
      <t>V</t>
    </r>
    <r>
      <rPr>
        <vertAlign val="subscript"/>
        <sz val="11"/>
        <color theme="1"/>
        <rFont val="Calibri"/>
        <family val="2"/>
        <scheme val="minor"/>
      </rPr>
      <t xml:space="preserve">Cf </t>
    </r>
  </si>
  <si>
    <r>
      <rPr>
        <sz val="11"/>
        <color theme="1"/>
        <rFont val="Calibri"/>
        <family val="2"/>
      </rPr>
      <t>I</t>
    </r>
    <r>
      <rPr>
        <vertAlign val="sub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Z</t>
    </r>
    <r>
      <rPr>
        <vertAlign val="sub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cosh</t>
    </r>
    <r>
      <rPr>
        <i/>
        <sz val="11"/>
        <color theme="1"/>
        <rFont val="Symbol"/>
        <family val="1"/>
        <charset val="2"/>
      </rPr>
      <t>g</t>
    </r>
    <r>
      <rPr>
        <i/>
        <sz val="11"/>
        <color theme="1"/>
        <rFont val="Times New Roman"/>
        <family val="1"/>
      </rPr>
      <t>l</t>
    </r>
  </si>
  <si>
    <r>
      <t xml:space="preserve"> -</t>
    </r>
    <r>
      <rPr>
        <sz val="11"/>
        <color theme="1"/>
        <rFont val="Calibri"/>
        <family val="2"/>
      </rPr>
      <t>V</t>
    </r>
    <r>
      <rPr>
        <vertAlign val="sub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senh</t>
    </r>
    <r>
      <rPr>
        <i/>
        <sz val="11"/>
        <color theme="1"/>
        <rFont val="Symbol"/>
        <family val="1"/>
        <charset val="2"/>
      </rPr>
      <t>g</t>
    </r>
    <r>
      <rPr>
        <i/>
        <sz val="11"/>
        <color theme="1"/>
        <rFont val="Times New Roman"/>
        <family val="1"/>
      </rPr>
      <t>l</t>
    </r>
  </si>
  <si>
    <r>
      <rPr>
        <b/>
        <sz val="11"/>
        <color theme="1"/>
        <rFont val="Arial"/>
        <family val="2"/>
      </rPr>
      <t>α</t>
    </r>
    <r>
      <rPr>
        <b/>
        <i/>
        <sz val="11"/>
        <color theme="1"/>
        <rFont val="Times New Roman"/>
        <family val="1"/>
      </rPr>
      <t>l</t>
    </r>
  </si>
  <si>
    <r>
      <rPr>
        <b/>
        <sz val="11"/>
        <color theme="1"/>
        <rFont val="Symbol"/>
        <family val="1"/>
        <charset val="2"/>
      </rPr>
      <t>b</t>
    </r>
    <r>
      <rPr>
        <b/>
        <i/>
        <sz val="11"/>
        <color theme="1"/>
        <rFont val="Times New Roman"/>
        <family val="1"/>
      </rPr>
      <t>l</t>
    </r>
  </si>
  <si>
    <r>
      <rPr>
        <b/>
        <sz val="11"/>
        <color theme="1"/>
        <rFont val="Symbol"/>
        <family val="1"/>
        <charset val="2"/>
      </rPr>
      <t>Z</t>
    </r>
    <r>
      <rPr>
        <b/>
        <vertAlign val="subscript"/>
        <sz val="11"/>
        <color theme="1"/>
        <rFont val="Symbol"/>
        <family val="1"/>
        <charset val="2"/>
      </rPr>
      <t>o</t>
    </r>
  </si>
  <si>
    <r>
      <t>S</t>
    </r>
    <r>
      <rPr>
        <vertAlign val="subscript"/>
        <sz val="11"/>
        <color theme="1"/>
        <rFont val="Calibri"/>
        <family val="2"/>
        <scheme val="minor"/>
      </rPr>
      <t>C</t>
    </r>
  </si>
  <si>
    <r>
      <t>|S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|</t>
    </r>
    <r>
      <rPr>
        <vertAlign val="subscript"/>
        <sz val="11"/>
        <color theme="1"/>
        <rFont val="Calibri"/>
        <family val="2"/>
        <scheme val="minor"/>
      </rPr>
      <t xml:space="preserve"> [MVA]</t>
    </r>
  </si>
  <si>
    <r>
      <t>|V</t>
    </r>
    <r>
      <rPr>
        <b/>
        <vertAlign val="subscript"/>
        <sz val="11"/>
        <color theme="1"/>
        <rFont val="Calibri"/>
        <family val="2"/>
        <scheme val="minor"/>
      </rPr>
      <t>CL</t>
    </r>
    <r>
      <rPr>
        <b/>
        <sz val="11"/>
        <color theme="1"/>
        <rFont val="Calibri"/>
        <family val="2"/>
        <scheme val="minor"/>
      </rPr>
      <t>| [kV]</t>
    </r>
  </si>
  <si>
    <r>
      <t>|I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|</t>
    </r>
    <r>
      <rPr>
        <vertAlign val="sub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[A]</t>
    </r>
  </si>
  <si>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  <scheme val="minor"/>
      </rPr>
      <t xml:space="preserve">o </t>
    </r>
    <r>
      <rPr>
        <b/>
        <sz val="11"/>
        <color theme="1"/>
        <rFont val="Calibri"/>
        <family val="2"/>
        <scheme val="minor"/>
      </rPr>
      <t>[kW]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</si>
  <si>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 xml:space="preserve">CL </t>
    </r>
    <r>
      <rPr>
        <b/>
        <sz val="11"/>
        <color theme="1"/>
        <rFont val="Calibri"/>
        <family val="2"/>
        <scheme val="minor"/>
      </rPr>
      <t>[kV]</t>
    </r>
  </si>
  <si>
    <r>
      <t>|S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|</t>
    </r>
    <r>
      <rPr>
        <vertAlign val="subscript"/>
        <sz val="11"/>
        <color theme="1"/>
        <rFont val="Calibri"/>
        <family val="2"/>
        <scheme val="minor"/>
      </rPr>
      <t xml:space="preserve"> [kVA]</t>
    </r>
  </si>
  <si>
    <r>
      <t>S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[VA]</t>
    </r>
  </si>
  <si>
    <r>
      <t>|S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|</t>
    </r>
    <r>
      <rPr>
        <vertAlign val="subscript"/>
        <sz val="11"/>
        <color theme="1"/>
        <rFont val="Calibri"/>
        <family val="2"/>
        <scheme val="minor"/>
      </rPr>
      <t xml:space="preserve"> [kVA]</t>
    </r>
  </si>
  <si>
    <r>
      <t>S</t>
    </r>
    <r>
      <rPr>
        <vertAlign val="subscript"/>
        <sz val="11"/>
        <color theme="1"/>
        <rFont val="Calibri"/>
        <family val="2"/>
        <scheme val="minor"/>
      </rPr>
      <t xml:space="preserve">c </t>
    </r>
  </si>
  <si>
    <r>
      <t>|S</t>
    </r>
    <r>
      <rPr>
        <b/>
        <vertAlign val="subscript"/>
        <sz val="11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>|</t>
    </r>
    <r>
      <rPr>
        <b/>
        <vertAlign val="subscript"/>
        <sz val="11"/>
        <color theme="1"/>
        <rFont val="Calibri"/>
        <family val="2"/>
        <scheme val="minor"/>
      </rPr>
      <t xml:space="preserve"> [kVA]</t>
    </r>
  </si>
  <si>
    <r>
      <t>|I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>| [A]</t>
    </r>
  </si>
  <si>
    <r>
      <t>|S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>| [kVA]</t>
    </r>
  </si>
  <si>
    <r>
      <t>|V</t>
    </r>
    <r>
      <rPr>
        <vertAlign val="subscript"/>
        <sz val="11"/>
        <color theme="1"/>
        <rFont val="Calibri"/>
        <family val="2"/>
        <scheme val="minor"/>
      </rPr>
      <t>CL</t>
    </r>
    <r>
      <rPr>
        <sz val="11"/>
        <color theme="1"/>
        <rFont val="Calibri"/>
        <family val="2"/>
        <scheme val="minor"/>
      </rPr>
      <t>| [kV]</t>
    </r>
  </si>
  <si>
    <t>Módulo</t>
  </si>
  <si>
    <t>Ângulo</t>
  </si>
  <si>
    <t>Perdas [kW]</t>
  </si>
  <si>
    <t>Regulação [%]</t>
  </si>
  <si>
    <t>L (mH/km)</t>
  </si>
  <si>
    <t>atrasado</t>
  </si>
  <si>
    <t>adiantado</t>
  </si>
  <si>
    <t>f</t>
  </si>
  <si>
    <t>Pc</t>
  </si>
  <si>
    <t>Qc</t>
  </si>
  <si>
    <t>d(mm)</t>
  </si>
  <si>
    <t>Ds(mm)</t>
  </si>
  <si>
    <t>Amp. (A)</t>
  </si>
  <si>
    <t>Estrtura</t>
  </si>
  <si>
    <t>Dab</t>
  </si>
  <si>
    <t>Dbc</t>
  </si>
  <si>
    <t>Dca</t>
  </si>
  <si>
    <t>Deq</t>
  </si>
  <si>
    <t>Parâmetros</t>
  </si>
  <si>
    <t>LINHA</t>
  </si>
  <si>
    <t>G(S/km)</t>
  </si>
  <si>
    <t>Grandeza</t>
  </si>
  <si>
    <t>Estudo</t>
  </si>
  <si>
    <t>Fonte</t>
  </si>
  <si>
    <t>V (kV)</t>
  </si>
  <si>
    <t>I (A)</t>
  </si>
  <si>
    <t>P (kW)</t>
  </si>
  <si>
    <t>S (kVA)</t>
  </si>
  <si>
    <t>Regulação (%)</t>
  </si>
  <si>
    <t>Características</t>
  </si>
  <si>
    <t>L(mH/km)</t>
  </si>
  <si>
    <r>
      <t>|V</t>
    </r>
    <r>
      <rPr>
        <b/>
        <vertAlign val="subscript"/>
        <sz val="11"/>
        <color theme="1"/>
        <rFont val="Symbol"/>
        <family val="1"/>
        <charset val="2"/>
      </rPr>
      <t>¥</t>
    </r>
    <r>
      <rPr>
        <b/>
        <sz val="11"/>
        <color theme="1"/>
        <rFont val="Symbol"/>
        <family val="1"/>
        <charset val="2"/>
      </rPr>
      <t>|</t>
    </r>
    <r>
      <rPr>
        <b/>
        <sz val="11"/>
        <color theme="1"/>
        <rFont val="Calibri"/>
        <family val="2"/>
        <scheme val="minor"/>
      </rPr>
      <t xml:space="preserve"> [kV]</t>
    </r>
  </si>
  <si>
    <t>SIL</t>
  </si>
  <si>
    <t>Massa
Al
(kg/km)</t>
  </si>
  <si>
    <t>Massa
Aço
(kg/km)</t>
  </si>
  <si>
    <t>Massa
Cabo
(kg/km)</t>
  </si>
  <si>
    <t>Ruptura
A
(daN)</t>
  </si>
  <si>
    <t>Ruptura
B
(daN)</t>
  </si>
  <si>
    <t>Zc</t>
  </si>
  <si>
    <r>
      <t>|V</t>
    </r>
    <r>
      <rPr>
        <vertAlign val="subscript"/>
        <sz val="11"/>
        <color theme="1"/>
        <rFont val="Calibri"/>
        <family val="2"/>
        <scheme val="minor"/>
      </rPr>
      <t>oF</t>
    </r>
    <r>
      <rPr>
        <sz val="11"/>
        <color theme="1"/>
        <rFont val="Calibri"/>
        <family val="2"/>
        <scheme val="minor"/>
      </rPr>
      <t>| [kV]</t>
    </r>
  </si>
  <si>
    <t>Carga
Plena</t>
  </si>
  <si>
    <r>
      <t>V</t>
    </r>
    <r>
      <rPr>
        <sz val="11"/>
        <color theme="1"/>
        <rFont val="Symbol"/>
        <family val="1"/>
        <charset val="2"/>
      </rPr>
      <t>¥</t>
    </r>
    <r>
      <rPr>
        <sz val="11"/>
        <color theme="1"/>
        <rFont val="Calibri"/>
        <family val="2"/>
        <scheme val="minor"/>
      </rPr>
      <t>(f)</t>
    </r>
  </si>
  <si>
    <r>
      <t>V</t>
    </r>
    <r>
      <rPr>
        <sz val="11"/>
        <color theme="1"/>
        <rFont val="Symbol"/>
        <family val="1"/>
        <charset val="2"/>
      </rPr>
      <t>¥</t>
    </r>
    <r>
      <rPr>
        <sz val="11"/>
        <color theme="1"/>
        <rFont val="Calibri"/>
        <family val="2"/>
        <scheme val="minor"/>
      </rPr>
      <t>(L)</t>
    </r>
  </si>
  <si>
    <t>|Zc|</t>
  </si>
  <si>
    <r>
      <t>R</t>
    </r>
    <r>
      <rPr>
        <b/>
        <vertAlign val="subscript"/>
        <sz val="11"/>
        <color theme="1"/>
        <rFont val="Cambria"/>
        <family val="1"/>
        <scheme val="major"/>
      </rPr>
      <t>o</t>
    </r>
  </si>
  <si>
    <t>Ðq</t>
  </si>
  <si>
    <t>Po</t>
  </si>
  <si>
    <t>p</t>
  </si>
  <si>
    <r>
      <rPr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[rad/s]</t>
    </r>
  </si>
  <si>
    <t>d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</si>
  <si>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[kW]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</si>
  <si>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 xml:space="preserve"> [kW]</t>
    </r>
  </si>
  <si>
    <r>
      <t>Secção
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</si>
  <si>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R (60Hz)
[</t>
    </r>
    <r>
      <rPr>
        <b/>
        <sz val="11"/>
        <color theme="1"/>
        <rFont val="Symbol"/>
        <family val="1"/>
        <charset val="2"/>
      </rPr>
      <t>W</t>
    </r>
    <r>
      <rPr>
        <b/>
        <sz val="11"/>
        <color theme="1"/>
        <rFont val="Calibri"/>
        <family val="2"/>
      </rPr>
      <t>/km]</t>
    </r>
  </si>
  <si>
    <r>
      <t>C (</t>
    </r>
    <r>
      <rPr>
        <b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  <scheme val="minor"/>
      </rPr>
      <t>F/km)</t>
    </r>
  </si>
  <si>
    <t>Q (mC/km)</t>
  </si>
  <si>
    <t>Q (C/m)</t>
  </si>
  <si>
    <t>E (V/m)</t>
  </si>
  <si>
    <t>C (F/m)</t>
  </si>
  <si>
    <r>
      <t>E</t>
    </r>
    <r>
      <rPr>
        <b/>
        <vertAlign val="subscript"/>
        <sz val="11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 xml:space="preserve"> (kV/cm)</t>
    </r>
  </si>
  <si>
    <t>|Zin|</t>
  </si>
  <si>
    <t>Ds</t>
  </si>
  <si>
    <t>condutores/fase</t>
  </si>
  <si>
    <t>Dseq</t>
  </si>
  <si>
    <t>selec.</t>
  </si>
  <si>
    <t>Cabos
p/ fase</t>
  </si>
  <si>
    <t>Cabo/Fase</t>
  </si>
  <si>
    <t>d (cm)</t>
  </si>
  <si>
    <t>Zo</t>
  </si>
  <si>
    <t>Zs</t>
  </si>
  <si>
    <r>
      <t>Zs=Zo x senh</t>
    </r>
    <r>
      <rPr>
        <sz val="11"/>
        <color theme="1"/>
        <rFont val="Symbol"/>
        <family val="1"/>
        <charset val="2"/>
      </rPr>
      <t>g</t>
    </r>
    <r>
      <rPr>
        <i/>
        <sz val="11"/>
        <color theme="1"/>
        <rFont val="Calibri"/>
        <family val="2"/>
      </rPr>
      <t>l</t>
    </r>
  </si>
  <si>
    <t>Yp</t>
  </si>
  <si>
    <r>
      <t>Yp=1/Zo x tanh(</t>
    </r>
    <r>
      <rPr>
        <sz val="11"/>
        <color theme="1"/>
        <rFont val="Symbol"/>
        <family val="1"/>
        <charset val="2"/>
      </rPr>
      <t>g</t>
    </r>
    <r>
      <rPr>
        <i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/2)</t>
    </r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</si>
  <si>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</rPr>
      <t>l</t>
    </r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</si>
  <si>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</rPr>
      <t>l</t>
    </r>
    <r>
      <rPr>
        <sz val="11"/>
        <color theme="1"/>
        <rFont val="Calibri"/>
        <family val="1"/>
        <charset val="2"/>
      </rPr>
      <t>/2</t>
    </r>
  </si>
  <si>
    <r>
      <t>tanh(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l/2)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</si>
  <si>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(cm)</t>
    </r>
  </si>
  <si>
    <t>Bitola
[AWG/MCM]</t>
  </si>
  <si>
    <t>E (kV/cm)</t>
  </si>
  <si>
    <t>v (m/s)</t>
  </si>
  <si>
    <t>tipo</t>
  </si>
  <si>
    <t>Comprimento</t>
  </si>
  <si>
    <r>
      <rPr>
        <i/>
        <sz val="11"/>
        <color theme="1"/>
        <rFont val="Times New Roman"/>
        <family val="1"/>
      </rPr>
      <t xml:space="preserve">l </t>
    </r>
    <r>
      <rPr>
        <sz val="11"/>
        <color theme="1"/>
        <rFont val="Calibri"/>
        <family val="2"/>
        <scheme val="minor"/>
      </rPr>
      <t>(km)</t>
    </r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</si>
  <si>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  <scheme val="minor"/>
      </rPr>
      <t xml:space="preserve"> (m)</t>
    </r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</si>
  <si>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  <scheme val="minor"/>
      </rPr>
      <t>(km)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</si>
  <si>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sp</t>
    </r>
    <r>
      <rPr>
        <b/>
        <sz val="11"/>
        <color theme="1"/>
        <rFont val="Calibri"/>
        <family val="2"/>
        <scheme val="minor"/>
      </rPr>
      <t xml:space="preserve"> (m/s)</t>
    </r>
  </si>
  <si>
    <r>
      <rPr>
        <b/>
        <sz val="11"/>
        <color theme="1"/>
        <rFont val="Symbol"/>
        <family val="1"/>
        <charset val="2"/>
      </rPr>
      <t>l</t>
    </r>
    <r>
      <rPr>
        <b/>
        <vertAlign val="subscript"/>
        <sz val="11"/>
        <color theme="1"/>
        <rFont val="Calibri"/>
        <family val="2"/>
        <scheme val="minor"/>
      </rPr>
      <t>sp</t>
    </r>
    <r>
      <rPr>
        <b/>
        <sz val="11"/>
        <color theme="1"/>
        <rFont val="Calibri"/>
        <family val="2"/>
        <scheme val="minor"/>
      </rPr>
      <t>(km)</t>
    </r>
  </si>
  <si>
    <t>Linhas Curtas</t>
  </si>
  <si>
    <t>R</t>
  </si>
  <si>
    <t>L</t>
  </si>
  <si>
    <t>w</t>
  </si>
  <si>
    <t>Akron</t>
  </si>
  <si>
    <t>Alton</t>
  </si>
  <si>
    <t>63,36MCM</t>
  </si>
  <si>
    <t>Ames</t>
  </si>
  <si>
    <t>105,6MCM</t>
  </si>
  <si>
    <t>Azusa</t>
  </si>
  <si>
    <t>133,1MCM</t>
  </si>
  <si>
    <t>Bitola
(MCM)</t>
  </si>
  <si>
    <t>Diâmetro</t>
  </si>
  <si>
    <t>Diâmetro (mm)</t>
  </si>
  <si>
    <t>Fio</t>
  </si>
  <si>
    <t>Massa
(Kg/km)</t>
  </si>
  <si>
    <t>TR
(daN)</t>
  </si>
  <si>
    <t>Anaheim</t>
  </si>
  <si>
    <t>167,8MCM</t>
  </si>
  <si>
    <t>Amherst</t>
  </si>
  <si>
    <t>211,6MCM</t>
  </si>
  <si>
    <t>Alliance</t>
  </si>
  <si>
    <t>250MCM</t>
  </si>
  <si>
    <t>300MCM</t>
  </si>
  <si>
    <t>Butte</t>
  </si>
  <si>
    <t>350MCM</t>
  </si>
  <si>
    <t>Canton</t>
  </si>
  <si>
    <t>400MCM</t>
  </si>
  <si>
    <t>450MCM</t>
  </si>
  <si>
    <t>Cairo</t>
  </si>
  <si>
    <t>500MCM</t>
  </si>
  <si>
    <t>550MCM</t>
  </si>
  <si>
    <t>Darien</t>
  </si>
  <si>
    <t>600MCM</t>
  </si>
  <si>
    <t>650MCM</t>
  </si>
  <si>
    <t>Elgin</t>
  </si>
  <si>
    <t>700MCM</t>
  </si>
  <si>
    <t>Flint</t>
  </si>
  <si>
    <t>750MCM</t>
  </si>
  <si>
    <t>800MCM</t>
  </si>
  <si>
    <t>900MCM</t>
  </si>
  <si>
    <t>Greeley</t>
  </si>
  <si>
    <t>1000MCM</t>
  </si>
  <si>
    <t>CC
20°C</t>
  </si>
  <si>
    <t>CA 60 Hz
75°C</t>
  </si>
  <si>
    <t>Secção</t>
  </si>
  <si>
    <t>Ampacidade</t>
  </si>
  <si>
    <t>RMG</t>
  </si>
  <si>
    <t>RCA</t>
  </si>
  <si>
    <t>CA</t>
  </si>
  <si>
    <t>CAA</t>
  </si>
  <si>
    <t>CAL</t>
  </si>
  <si>
    <t>Seleção</t>
  </si>
  <si>
    <r>
      <t>Secção [mm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</si>
  <si>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J (A/mm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</si>
  <si>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Azuza</t>
  </si>
  <si>
    <t>item</t>
  </si>
  <si>
    <r>
      <t>ResisTência (</t>
    </r>
    <r>
      <rPr>
        <b/>
        <sz val="11"/>
        <color theme="1"/>
        <rFont val="Symbol"/>
        <family val="1"/>
        <charset val="2"/>
      </rPr>
      <t>W/</t>
    </r>
    <r>
      <rPr>
        <b/>
        <sz val="11"/>
        <color theme="1"/>
        <rFont val="Calibri"/>
        <family val="2"/>
        <scheme val="minor"/>
      </rPr>
      <t>km</t>
    </r>
    <r>
      <rPr>
        <b/>
        <sz val="11"/>
        <color theme="1"/>
        <rFont val="Calibri"/>
        <family val="2"/>
      </rPr>
      <t>)</t>
    </r>
  </si>
  <si>
    <r>
      <t>N.</t>
    </r>
    <r>
      <rPr>
        <b/>
        <vertAlign val="super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Fios</t>
    </r>
  </si>
  <si>
    <t>Estrutura 1</t>
  </si>
  <si>
    <t>Estrutura 2</t>
  </si>
  <si>
    <t>Estrutura 3</t>
  </si>
  <si>
    <t>Estrutura 4</t>
  </si>
  <si>
    <t>Estrutura 5</t>
  </si>
  <si>
    <t>Estrutura 6</t>
  </si>
  <si>
    <t>Estrutura 7</t>
  </si>
  <si>
    <t>Estrutura 8</t>
  </si>
  <si>
    <t>Estrutura 9</t>
  </si>
  <si>
    <t>Estrutura 10</t>
  </si>
  <si>
    <t>Estrutura 11</t>
  </si>
  <si>
    <t>Estrutura 12</t>
  </si>
  <si>
    <t>A</t>
  </si>
  <si>
    <t>B</t>
  </si>
  <si>
    <t>C</t>
  </si>
  <si>
    <t>34,5 kV</t>
  </si>
  <si>
    <t>C 69 Urbana</t>
  </si>
  <si>
    <t>34,5kV</t>
  </si>
  <si>
    <t>RESULTADOS</t>
  </si>
  <si>
    <r>
      <t>Secção(mm</t>
    </r>
    <r>
      <rPr>
        <b/>
        <vertAlign val="superscript"/>
        <sz val="10"/>
        <color theme="2" tint="-0.749992370372631"/>
        <rFont val="Calibri"/>
        <family val="2"/>
        <scheme val="minor"/>
      </rPr>
      <t>2</t>
    </r>
    <r>
      <rPr>
        <b/>
        <sz val="10"/>
        <color theme="2" tint="-0.749992370372631"/>
        <rFont val="Calibri"/>
        <family val="2"/>
        <scheme val="minor"/>
      </rPr>
      <t>)</t>
    </r>
  </si>
  <si>
    <r>
      <t>R(</t>
    </r>
    <r>
      <rPr>
        <b/>
        <sz val="10"/>
        <color theme="2" tint="-0.749992370372631"/>
        <rFont val="Symbol"/>
        <family val="1"/>
        <charset val="2"/>
      </rPr>
      <t>W/</t>
    </r>
    <r>
      <rPr>
        <b/>
        <sz val="10"/>
        <color theme="2" tint="-0.749992370372631"/>
        <rFont val="Times New Roman"/>
        <family val="1"/>
      </rPr>
      <t>km</t>
    </r>
    <r>
      <rPr>
        <b/>
        <sz val="10"/>
        <color theme="2" tint="-0.749992370372631"/>
        <rFont val="Calibri"/>
        <family val="2"/>
      </rPr>
      <t>)</t>
    </r>
  </si>
  <si>
    <r>
      <t>C(</t>
    </r>
    <r>
      <rPr>
        <b/>
        <sz val="10"/>
        <color theme="2" tint="-0.749992370372631"/>
        <rFont val="Times New Roman"/>
        <family val="1"/>
      </rPr>
      <t>n</t>
    </r>
    <r>
      <rPr>
        <b/>
        <sz val="10"/>
        <color theme="2" tint="-0.749992370372631"/>
        <rFont val="Calibri"/>
        <family val="2"/>
        <scheme val="minor"/>
      </rPr>
      <t>F/km)</t>
    </r>
  </si>
  <si>
    <r>
      <rPr>
        <b/>
        <i/>
        <sz val="10"/>
        <color theme="2" tint="-0.749992370372631"/>
        <rFont val="Times New Roman"/>
        <family val="1"/>
      </rPr>
      <t>l</t>
    </r>
    <r>
      <rPr>
        <b/>
        <sz val="10"/>
        <color theme="2" tint="-0.749992370372631"/>
        <rFont val="Calibri"/>
        <family val="2"/>
        <scheme val="minor"/>
      </rPr>
      <t>(km)</t>
    </r>
  </si>
  <si>
    <r>
      <rPr>
        <b/>
        <sz val="9"/>
        <color theme="2" tint="-0.749992370372631"/>
        <rFont val="Symbol"/>
        <family val="1"/>
        <charset val="2"/>
      </rPr>
      <t>g (</t>
    </r>
    <r>
      <rPr>
        <b/>
        <sz val="9"/>
        <color theme="2" tint="-0.749992370372631"/>
        <rFont val="Calibri"/>
        <family val="2"/>
        <scheme val="minor"/>
      </rPr>
      <t>/km)</t>
    </r>
  </si>
  <si>
    <r>
      <t>Z</t>
    </r>
    <r>
      <rPr>
        <b/>
        <vertAlign val="subscript"/>
        <sz val="9"/>
        <color theme="2" tint="-0.749992370372631"/>
        <rFont val="Calibri"/>
        <family val="2"/>
        <scheme val="minor"/>
      </rPr>
      <t>o</t>
    </r>
    <r>
      <rPr>
        <b/>
        <sz val="9"/>
        <color theme="2" tint="-0.749992370372631"/>
        <rFont val="Calibri"/>
        <family val="2"/>
        <scheme val="minor"/>
      </rPr>
      <t xml:space="preserve"> (</t>
    </r>
    <r>
      <rPr>
        <b/>
        <sz val="9"/>
        <color theme="2" tint="-0.749992370372631"/>
        <rFont val="Symbol"/>
        <family val="1"/>
        <charset val="2"/>
      </rPr>
      <t>W</t>
    </r>
    <r>
      <rPr>
        <b/>
        <sz val="9"/>
        <color theme="2" tint="-0.749992370372631"/>
        <rFont val="Calibri"/>
        <family val="2"/>
      </rPr>
      <t>)</t>
    </r>
  </si>
  <si>
    <r>
      <t>R</t>
    </r>
    <r>
      <rPr>
        <b/>
        <vertAlign val="subscript"/>
        <sz val="9"/>
        <color theme="2" tint="-0.749992370372631"/>
        <rFont val="Calibri"/>
        <family val="2"/>
        <scheme val="minor"/>
      </rPr>
      <t>o</t>
    </r>
    <r>
      <rPr>
        <b/>
        <sz val="9"/>
        <color theme="2" tint="-0.749992370372631"/>
        <rFont val="Calibri"/>
        <family val="2"/>
        <scheme val="minor"/>
      </rPr>
      <t xml:space="preserve"> (</t>
    </r>
    <r>
      <rPr>
        <b/>
        <sz val="9"/>
        <color theme="2" tint="-0.749992370372631"/>
        <rFont val="Symbol"/>
        <family val="1"/>
        <charset val="2"/>
      </rPr>
      <t>W</t>
    </r>
    <r>
      <rPr>
        <b/>
        <sz val="9"/>
        <color theme="2" tint="-0.749992370372631"/>
        <rFont val="Calibri"/>
        <family val="2"/>
      </rPr>
      <t>)</t>
    </r>
  </si>
  <si>
    <r>
      <t>Perdas (</t>
    </r>
    <r>
      <rPr>
        <b/>
        <sz val="11"/>
        <color theme="2" tint="-0.749992370372631"/>
        <rFont val="Symbol"/>
        <family val="1"/>
        <charset val="2"/>
      </rPr>
      <t>%</t>
    </r>
    <r>
      <rPr>
        <b/>
        <sz val="11"/>
        <color theme="2" tint="-0.749992370372631"/>
        <rFont val="Calibri"/>
        <family val="2"/>
        <scheme val="minor"/>
      </rPr>
      <t>)</t>
    </r>
  </si>
  <si>
    <r>
      <t>SIL (</t>
    </r>
    <r>
      <rPr>
        <b/>
        <sz val="11"/>
        <color theme="2" tint="-0.749992370372631"/>
        <rFont val="Symbol"/>
        <family val="1"/>
        <charset val="2"/>
      </rPr>
      <t>%</t>
    </r>
    <r>
      <rPr>
        <b/>
        <sz val="11"/>
        <color theme="2" tint="-0.749992370372631"/>
        <rFont val="Calibri"/>
        <family val="2"/>
        <scheme val="minor"/>
      </rPr>
      <t>)</t>
    </r>
  </si>
  <si>
    <r>
      <t>Z (</t>
    </r>
    <r>
      <rPr>
        <b/>
        <sz val="9"/>
        <color theme="2" tint="-0.749992370372631"/>
        <rFont val="Symbol"/>
        <family val="1"/>
        <charset val="2"/>
      </rPr>
      <t>W</t>
    </r>
    <r>
      <rPr>
        <b/>
        <sz val="9"/>
        <color theme="2" tint="-0.749992370372631"/>
        <rFont val="Calibri"/>
        <family val="2"/>
      </rPr>
      <t>)</t>
    </r>
  </si>
  <si>
    <r>
      <rPr>
        <sz val="11"/>
        <color theme="1"/>
        <rFont val="Calibri"/>
        <family val="2"/>
        <scheme val="minor"/>
      </rPr>
      <t>cos</t>
    </r>
    <r>
      <rPr>
        <sz val="11"/>
        <color theme="1"/>
        <rFont val="Symbol"/>
        <family val="1"/>
        <charset val="2"/>
      </rPr>
      <t>(f)</t>
    </r>
  </si>
  <si>
    <t>Estruturas</t>
  </si>
  <si>
    <t>Modelo π</t>
  </si>
  <si>
    <r>
      <t>Y</t>
    </r>
    <r>
      <rPr>
        <b/>
        <i/>
        <vertAlign val="subscript"/>
        <sz val="14"/>
        <color theme="1"/>
        <rFont val="Cambria"/>
        <family val="1"/>
        <scheme val="major"/>
      </rPr>
      <t xml:space="preserve">P </t>
    </r>
    <r>
      <rPr>
        <b/>
        <sz val="14"/>
        <color theme="1"/>
        <rFont val="Cambria"/>
        <family val="1"/>
        <scheme val="major"/>
      </rPr>
      <t>(S)</t>
    </r>
  </si>
  <si>
    <r>
      <rPr>
        <b/>
        <i/>
        <sz val="14"/>
        <color theme="1"/>
        <rFont val="Cambria"/>
        <family val="1"/>
        <scheme val="major"/>
      </rPr>
      <t>Z</t>
    </r>
    <r>
      <rPr>
        <b/>
        <i/>
        <vertAlign val="subscript"/>
        <sz val="14"/>
        <color theme="1"/>
        <rFont val="Cambria"/>
        <family val="1"/>
        <scheme val="major"/>
      </rPr>
      <t>S</t>
    </r>
    <r>
      <rPr>
        <b/>
        <sz val="14"/>
        <color theme="1"/>
        <rFont val="Cambria"/>
        <family val="1"/>
        <scheme val="major"/>
      </rPr>
      <t xml:space="preserve"> (</t>
    </r>
    <r>
      <rPr>
        <b/>
        <sz val="14"/>
        <color theme="1"/>
        <rFont val="Symbol"/>
        <family val="1"/>
        <charset val="2"/>
      </rPr>
      <t>W</t>
    </r>
    <r>
      <rPr>
        <b/>
        <sz val="14"/>
        <color theme="1"/>
        <rFont val="Cambria"/>
        <family val="1"/>
        <scheme val="major"/>
      </rPr>
      <t>)</t>
    </r>
  </si>
  <si>
    <t>Estrutura 13</t>
  </si>
  <si>
    <t>Estrutura 14</t>
  </si>
  <si>
    <t>Estrutura 15</t>
  </si>
  <si>
    <t>69 kV</t>
  </si>
  <si>
    <t>Linha:</t>
  </si>
  <si>
    <t>%SIL</t>
  </si>
  <si>
    <t>R%</t>
  </si>
  <si>
    <t>P%</t>
  </si>
  <si>
    <t>Exemplo</t>
  </si>
  <si>
    <t>2r</t>
  </si>
  <si>
    <t>req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</si>
  <si>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eq</t>
    </r>
    <r>
      <rPr>
        <b/>
        <sz val="11"/>
        <color theme="1"/>
        <rFont val="Calibri"/>
        <family val="2"/>
        <scheme val="minor"/>
      </rPr>
      <t xml:space="preserve"> (cm)</t>
    </r>
  </si>
  <si>
    <t>Recomendado</t>
  </si>
  <si>
    <r>
      <t xml:space="preserve">0,6 &lt; </t>
    </r>
    <r>
      <rPr>
        <b/>
        <i/>
        <sz val="11"/>
        <color theme="1"/>
        <rFont val="Calibri"/>
        <family val="2"/>
        <scheme val="minor"/>
      </rPr>
      <t xml:space="preserve">J </t>
    </r>
    <r>
      <rPr>
        <b/>
        <sz val="11"/>
        <color theme="1"/>
        <rFont val="Calibri"/>
        <family val="2"/>
        <scheme val="minor"/>
      </rPr>
      <t>&lt; 0,8</t>
    </r>
  </si>
  <si>
    <t>Secção AL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</si>
  <si>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 xml:space="preserve">oL </t>
    </r>
    <r>
      <rPr>
        <b/>
        <sz val="11"/>
        <color theme="1"/>
        <rFont val="Calibri"/>
        <family val="2"/>
        <scheme val="minor"/>
      </rPr>
      <t>[kV] (*)</t>
    </r>
  </si>
  <si>
    <r>
      <rPr>
        <b/>
        <sz val="11"/>
        <color theme="1"/>
        <rFont val="Calibri"/>
        <family val="2"/>
        <scheme val="minor"/>
      </rPr>
      <t>S</t>
    </r>
    <r>
      <rPr>
        <b/>
        <vertAlign val="subscript"/>
        <sz val="11"/>
        <color theme="1"/>
        <rFont val="Calibri"/>
        <family val="2"/>
        <scheme val="minor"/>
      </rPr>
      <t xml:space="preserve">C </t>
    </r>
    <r>
      <rPr>
        <b/>
        <sz val="11"/>
        <color theme="1"/>
        <rFont val="Calibri"/>
        <family val="2"/>
        <scheme val="minor"/>
      </rPr>
      <t>[kVA] (*)</t>
    </r>
  </si>
  <si>
    <t>(*) Valores Preferenciais</t>
  </si>
  <si>
    <t xml:space="preserve">h </t>
  </si>
  <si>
    <t xml:space="preserve">v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</si>
</sst>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#,##0.0"/>
    <numFmt numFmtId="165" formatCode="0.0"/>
    <numFmt numFmtId="166" formatCode="0.000"/>
    <numFmt numFmtId="167" formatCode="0.0000"/>
    <numFmt numFmtId="168" formatCode="0.00000"/>
    <numFmt numFmtId="169" formatCode="0.000000"/>
    <numFmt numFmtId="170" formatCode="#,##0.0_ ;\-#,##0.0\ "/>
    <numFmt numFmtId="171" formatCode="#,##0.00_ ;\-#,##0.00\ "/>
    <numFmt numFmtId="172" formatCode="#,##0.000_ ;\-#,##0.000\ "/>
    <numFmt numFmtId="173" formatCode="#,##0.0000_ ;\-#,##0.0000\ "/>
    <numFmt numFmtId="174" formatCode="#,##0.0000"/>
    <numFmt numFmtId="175" formatCode="0.0%"/>
    <numFmt numFmtId="176" formatCode="0.0000E+00"/>
    <numFmt numFmtId="177" formatCode="#,##0.000"/>
    <numFmt numFmtId="178" formatCode="0.00000000"/>
    <numFmt numFmtId="179" formatCode="_-* #,##0.0_-;\-* #,##0.0_-;_-* &quot;-&quot;??_-;_-@_-"/>
    <numFmt numFmtId="180" formatCode="0.000E+00"/>
  </numFmts>
  <fonts count="75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2"/>
    </font>
    <font>
      <b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theme="1"/>
      <name val="Times New Roman"/>
      <family val="1"/>
    </font>
    <font>
      <b/>
      <vertAlign val="subscript"/>
      <sz val="11"/>
      <color theme="1"/>
      <name val="Symbol"/>
      <family val="1"/>
      <charset val="2"/>
    </font>
    <font>
      <b/>
      <sz val="11"/>
      <color theme="1"/>
      <name val="Times New Roman"/>
      <family val="1"/>
    </font>
    <font>
      <i/>
      <sz val="11"/>
      <color theme="1"/>
      <name val="Calibri"/>
      <family val="2"/>
    </font>
    <font>
      <sz val="11"/>
      <color rgb="FF7030A0"/>
      <name val="Calibri"/>
      <family val="2"/>
      <scheme val="minor"/>
    </font>
    <font>
      <vertAlign val="superscript"/>
      <sz val="11"/>
      <color theme="1"/>
      <name val="Calibri"/>
      <family val="2"/>
    </font>
    <font>
      <i/>
      <sz val="11"/>
      <color theme="1"/>
      <name val="Symbol"/>
      <family val="1"/>
      <charset val="2"/>
    </font>
    <font>
      <i/>
      <sz val="11"/>
      <color theme="1"/>
      <name val="Times New Roman"/>
      <family val="1"/>
    </font>
    <font>
      <b/>
      <i/>
      <sz val="11"/>
      <color theme="1"/>
      <name val="Calibri"/>
      <family val="2"/>
    </font>
    <font>
      <sz val="11"/>
      <color theme="1"/>
      <name val="Arial"/>
      <family val="2"/>
    </font>
    <font>
      <i/>
      <vertAlign val="subscript"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mbria"/>
      <family val="1"/>
      <scheme val="major"/>
    </font>
    <font>
      <b/>
      <vertAlign val="subscript"/>
      <sz val="11"/>
      <color theme="1"/>
      <name val="Cambria"/>
      <family val="1"/>
      <scheme val="maj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1"/>
      <scheme val="minor"/>
    </font>
    <font>
      <sz val="11"/>
      <color theme="1"/>
      <name val="Calibri"/>
      <family val="1"/>
      <charset val="2"/>
    </font>
    <font>
      <sz val="11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1"/>
      <name val="Calibri"/>
      <family val="1"/>
      <charset val="2"/>
      <scheme val="minor"/>
    </font>
    <font>
      <b/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9"/>
      <color theme="2" tint="-0.749992370372631"/>
      <name val="Calibri"/>
      <family val="2"/>
      <scheme val="minor"/>
    </font>
    <font>
      <b/>
      <sz val="9"/>
      <color theme="2" tint="-0.749992370372631"/>
      <name val="Symbol"/>
      <family val="1"/>
      <charset val="2"/>
    </font>
    <font>
      <b/>
      <sz val="9"/>
      <color theme="2" tint="-0.749992370372631"/>
      <name val="Calibri"/>
      <family val="2"/>
    </font>
    <font>
      <b/>
      <sz val="10"/>
      <color theme="2" tint="-0.749992370372631"/>
      <name val="Calibri"/>
      <family val="2"/>
      <scheme val="minor"/>
    </font>
    <font>
      <b/>
      <vertAlign val="superscript"/>
      <sz val="10"/>
      <color theme="2" tint="-0.749992370372631"/>
      <name val="Calibri"/>
      <family val="2"/>
      <scheme val="minor"/>
    </font>
    <font>
      <b/>
      <sz val="10"/>
      <color theme="2" tint="-0.749992370372631"/>
      <name val="Symbol"/>
      <family val="1"/>
      <charset val="2"/>
    </font>
    <font>
      <b/>
      <sz val="10"/>
      <color theme="2" tint="-0.749992370372631"/>
      <name val="Times New Roman"/>
      <family val="1"/>
    </font>
    <font>
      <b/>
      <sz val="10"/>
      <color theme="2" tint="-0.749992370372631"/>
      <name val="Calibri"/>
      <family val="2"/>
    </font>
    <font>
      <b/>
      <i/>
      <sz val="10"/>
      <color theme="2" tint="-0.749992370372631"/>
      <name val="Times New Roman"/>
      <family val="1"/>
    </font>
    <font>
      <b/>
      <vertAlign val="subscript"/>
      <sz val="9"/>
      <color theme="2" tint="-0.749992370372631"/>
      <name val="Calibri"/>
      <family val="2"/>
      <scheme val="minor"/>
    </font>
    <font>
      <b/>
      <sz val="11"/>
      <color theme="2" tint="-0.749992370372631"/>
      <name val="Symbol"/>
      <family val="1"/>
      <charset val="2"/>
    </font>
    <font>
      <sz val="11"/>
      <color theme="1"/>
      <name val="Symbol"/>
      <family val="2"/>
      <charset val="2"/>
    </font>
    <font>
      <b/>
      <sz val="12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mbria"/>
      <family val="1"/>
      <scheme val="major"/>
    </font>
    <font>
      <b/>
      <sz val="14"/>
      <color theme="3"/>
      <name val="Cambria"/>
      <family val="1"/>
      <scheme val="major"/>
    </font>
    <font>
      <b/>
      <sz val="16"/>
      <color theme="3"/>
      <name val="Cambria"/>
      <family val="1"/>
      <scheme val="major"/>
    </font>
    <font>
      <b/>
      <sz val="14"/>
      <color theme="1"/>
      <name val="Symbol"/>
      <family val="1"/>
      <charset val="2"/>
    </font>
    <font>
      <b/>
      <sz val="14"/>
      <color theme="1"/>
      <name val="Cambria"/>
      <family val="1"/>
      <scheme val="major"/>
    </font>
    <font>
      <b/>
      <i/>
      <sz val="14"/>
      <color theme="1"/>
      <name val="Cambria"/>
      <family val="1"/>
      <scheme val="major"/>
    </font>
    <font>
      <b/>
      <i/>
      <vertAlign val="subscript"/>
      <sz val="14"/>
      <color theme="1"/>
      <name val="Cambria"/>
      <family val="1"/>
      <scheme val="major"/>
    </font>
    <font>
      <b/>
      <sz val="16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 style="medium">
        <color indexed="64"/>
      </bottom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indexed="64"/>
      </bottom>
      <diagonal/>
    </border>
    <border>
      <left/>
      <right/>
      <top style="double">
        <color auto="1"/>
      </top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7" fillId="2" borderId="3" xfId="0" applyFont="1" applyFill="1" applyBorder="1" applyAlignment="1">
      <alignment horizontal="center" vertical="center"/>
    </xf>
    <xf numFmtId="0" fontId="0" fillId="2" borderId="12" xfId="0" applyFill="1" applyBorder="1" applyAlignment="1">
      <alignment vertical="center"/>
    </xf>
    <xf numFmtId="0" fontId="12" fillId="2" borderId="3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/>
    </xf>
    <xf numFmtId="0" fontId="15" fillId="2" borderId="3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/>
    </xf>
    <xf numFmtId="0" fontId="14" fillId="2" borderId="3" xfId="0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68" fontId="22" fillId="2" borderId="3" xfId="0" applyNumberFormat="1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168" fontId="22" fillId="2" borderId="4" xfId="0" applyNumberFormat="1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68" fontId="22" fillId="2" borderId="0" xfId="0" applyNumberFormat="1" applyFont="1" applyFill="1" applyAlignment="1">
      <alignment horizontal="center" vertical="center"/>
    </xf>
    <xf numFmtId="167" fontId="17" fillId="2" borderId="0" xfId="0" applyNumberFormat="1" applyFont="1" applyFill="1" applyAlignment="1">
      <alignment horizontal="center" vertical="center"/>
    </xf>
    <xf numFmtId="0" fontId="22" fillId="2" borderId="9" xfId="0" applyFont="1" applyFill="1" applyBorder="1" applyAlignment="1">
      <alignment horizontal="center" vertical="center"/>
    </xf>
    <xf numFmtId="1" fontId="22" fillId="2" borderId="22" xfId="0" applyNumberFormat="1" applyFont="1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170" fontId="0" fillId="0" borderId="28" xfId="1" applyNumberFormat="1" applyFont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0" fontId="1" fillId="2" borderId="30" xfId="0" applyFont="1" applyFill="1" applyBorder="1" applyAlignment="1">
      <alignment horizontal="center" vertical="center"/>
    </xf>
    <xf numFmtId="2" fontId="0" fillId="0" borderId="34" xfId="0" applyNumberFormat="1" applyBorder="1" applyAlignment="1">
      <alignment horizontal="center"/>
    </xf>
    <xf numFmtId="171" fontId="0" fillId="0" borderId="28" xfId="1" applyNumberFormat="1" applyFont="1" applyBorder="1" applyAlignment="1">
      <alignment horizontal="center"/>
    </xf>
    <xf numFmtId="167" fontId="22" fillId="2" borderId="1" xfId="0" applyNumberFormat="1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167" fontId="22" fillId="2" borderId="22" xfId="0" applyNumberFormat="1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165" fontId="17" fillId="2" borderId="9" xfId="0" applyNumberFormat="1" applyFont="1" applyFill="1" applyBorder="1" applyAlignment="1">
      <alignment horizontal="center" vertical="center"/>
    </xf>
    <xf numFmtId="0" fontId="22" fillId="2" borderId="22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169" fontId="22" fillId="2" borderId="36" xfId="0" applyNumberFormat="1" applyFont="1" applyFill="1" applyBorder="1" applyAlignment="1">
      <alignment horizontal="center" vertical="center"/>
    </xf>
    <xf numFmtId="2" fontId="17" fillId="2" borderId="36" xfId="0" applyNumberFormat="1" applyFont="1" applyFill="1" applyBorder="1" applyAlignment="1">
      <alignment horizontal="center" vertical="center"/>
    </xf>
    <xf numFmtId="2" fontId="17" fillId="2" borderId="37" xfId="0" applyNumberFormat="1" applyFont="1" applyFill="1" applyBorder="1" applyAlignment="1">
      <alignment horizontal="center" vertical="center"/>
    </xf>
    <xf numFmtId="172" fontId="0" fillId="0" borderId="28" xfId="1" applyNumberFormat="1" applyFont="1" applyBorder="1" applyAlignment="1">
      <alignment horizontal="center" vertical="center"/>
    </xf>
    <xf numFmtId="173" fontId="0" fillId="0" borderId="28" xfId="1" applyNumberFormat="1" applyFont="1" applyBorder="1" applyAlignment="1">
      <alignment horizontal="center"/>
    </xf>
    <xf numFmtId="0" fontId="26" fillId="2" borderId="3" xfId="0" applyFont="1" applyFill="1" applyBorder="1" applyAlignment="1">
      <alignment horizontal="center"/>
    </xf>
    <xf numFmtId="166" fontId="33" fillId="2" borderId="3" xfId="0" applyNumberFormat="1" applyFont="1" applyFill="1" applyBorder="1" applyAlignment="1">
      <alignment horizontal="center" vertical="center"/>
    </xf>
    <xf numFmtId="165" fontId="33" fillId="2" borderId="3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22" xfId="0" applyFill="1" applyBorder="1"/>
    <xf numFmtId="0" fontId="0" fillId="2" borderId="28" xfId="0" applyFill="1" applyBorder="1"/>
    <xf numFmtId="0" fontId="0" fillId="2" borderId="24" xfId="0" applyFill="1" applyBorder="1"/>
    <xf numFmtId="0" fontId="27" fillId="2" borderId="3" xfId="0" applyFont="1" applyFill="1" applyBorder="1" applyAlignment="1">
      <alignment horizontal="center"/>
    </xf>
    <xf numFmtId="0" fontId="17" fillId="2" borderId="22" xfId="0" applyFont="1" applyFill="1" applyBorder="1" applyAlignment="1">
      <alignment horizontal="center" vertical="center"/>
    </xf>
    <xf numFmtId="167" fontId="0" fillId="2" borderId="10" xfId="0" applyNumberFormat="1" applyFill="1" applyBorder="1" applyAlignment="1">
      <alignment horizontal="center" vertical="center"/>
    </xf>
    <xf numFmtId="167" fontId="0" fillId="2" borderId="40" xfId="0" applyNumberForma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170" fontId="5" fillId="6" borderId="3" xfId="1" applyNumberFormat="1" applyFont="1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171" fontId="5" fillId="6" borderId="3" xfId="1" applyNumberFormat="1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165" fontId="34" fillId="5" borderId="5" xfId="0" applyNumberFormat="1" applyFont="1" applyFill="1" applyBorder="1" applyAlignment="1">
      <alignment horizontal="center" vertical="center"/>
    </xf>
    <xf numFmtId="165" fontId="22" fillId="2" borderId="42" xfId="0" applyNumberFormat="1" applyFont="1" applyFill="1" applyBorder="1" applyAlignment="1">
      <alignment horizontal="center" vertical="center"/>
    </xf>
    <xf numFmtId="1" fontId="22" fillId="2" borderId="36" xfId="0" applyNumberFormat="1" applyFont="1" applyFill="1" applyBorder="1" applyAlignment="1">
      <alignment horizontal="center" vertical="center"/>
    </xf>
    <xf numFmtId="165" fontId="22" fillId="2" borderId="22" xfId="0" applyNumberFormat="1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76" fontId="17" fillId="2" borderId="9" xfId="0" applyNumberFormat="1" applyFont="1" applyFill="1" applyBorder="1" applyAlignment="1">
      <alignment horizontal="center" vertical="center"/>
    </xf>
    <xf numFmtId="171" fontId="0" fillId="0" borderId="28" xfId="1" applyNumberFormat="1" applyFont="1" applyBorder="1" applyAlignment="1">
      <alignment horizontal="center" vertical="center"/>
    </xf>
    <xf numFmtId="2" fontId="0" fillId="0" borderId="0" xfId="0" applyNumberFormat="1"/>
    <xf numFmtId="0" fontId="17" fillId="2" borderId="4" xfId="0" applyFont="1" applyFill="1" applyBorder="1" applyAlignment="1">
      <alignment horizontal="center" vertical="center"/>
    </xf>
    <xf numFmtId="0" fontId="35" fillId="2" borderId="3" xfId="0" applyFont="1" applyFill="1" applyBorder="1" applyAlignment="1">
      <alignment horizontal="center"/>
    </xf>
    <xf numFmtId="167" fontId="0" fillId="2" borderId="45" xfId="0" applyNumberFormat="1" applyFill="1" applyBorder="1" applyAlignment="1">
      <alignment horizontal="center" vertical="center"/>
    </xf>
    <xf numFmtId="43" fontId="0" fillId="0" borderId="28" xfId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/>
    </xf>
    <xf numFmtId="2" fontId="6" fillId="0" borderId="3" xfId="0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3" xfId="0" applyBorder="1"/>
    <xf numFmtId="165" fontId="0" fillId="0" borderId="0" xfId="0" applyNumberFormat="1" applyAlignment="1">
      <alignment horizontal="center" vertical="center"/>
    </xf>
    <xf numFmtId="172" fontId="5" fillId="6" borderId="3" xfId="1" applyNumberFormat="1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6" fillId="2" borderId="4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 vertical="center"/>
    </xf>
    <xf numFmtId="11" fontId="22" fillId="2" borderId="4" xfId="0" applyNumberFormat="1" applyFont="1" applyFill="1" applyBorder="1" applyAlignment="1">
      <alignment horizontal="center" vertical="center"/>
    </xf>
    <xf numFmtId="0" fontId="0" fillId="2" borderId="30" xfId="0" applyFill="1" applyBorder="1"/>
    <xf numFmtId="0" fontId="0" fillId="2" borderId="5" xfId="0" applyFill="1" applyBorder="1"/>
    <xf numFmtId="168" fontId="0" fillId="2" borderId="3" xfId="0" applyNumberFormat="1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169" fontId="0" fillId="2" borderId="3" xfId="0" applyNumberFormat="1" applyFill="1" applyBorder="1" applyAlignment="1">
      <alignment horizontal="center"/>
    </xf>
    <xf numFmtId="0" fontId="0" fillId="2" borderId="1" xfId="0" applyFill="1" applyBorder="1"/>
    <xf numFmtId="0" fontId="40" fillId="2" borderId="24" xfId="0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0" fontId="40" fillId="2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11" fontId="0" fillId="0" borderId="0" xfId="0" applyNumberFormat="1"/>
    <xf numFmtId="0" fontId="22" fillId="2" borderId="4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3" xfId="0" applyFill="1" applyBorder="1"/>
    <xf numFmtId="0" fontId="0" fillId="0" borderId="3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22" xfId="0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" fontId="0" fillId="0" borderId="17" xfId="0" applyNumberFormat="1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8" fontId="0" fillId="0" borderId="17" xfId="0" applyNumberFormat="1" applyBorder="1" applyAlignment="1">
      <alignment horizontal="center" vertical="center"/>
    </xf>
    <xf numFmtId="166" fontId="0" fillId="0" borderId="17" xfId="0" applyNumberForma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2" fontId="33" fillId="2" borderId="3" xfId="0" applyNumberFormat="1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/>
    </xf>
    <xf numFmtId="0" fontId="6" fillId="2" borderId="19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46" fillId="2" borderId="28" xfId="0" applyFont="1" applyFill="1" applyBorder="1" applyAlignment="1">
      <alignment horizontal="center" vertical="center"/>
    </xf>
    <xf numFmtId="178" fontId="17" fillId="2" borderId="9" xfId="0" applyNumberFormat="1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6" fontId="0" fillId="0" borderId="0" xfId="0" applyNumberFormat="1"/>
    <xf numFmtId="0" fontId="6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54" xfId="0" applyBorder="1"/>
    <xf numFmtId="0" fontId="0" fillId="6" borderId="52" xfId="0" applyFill="1" applyBorder="1" applyAlignment="1">
      <alignment horizontal="center" vertical="center"/>
    </xf>
    <xf numFmtId="0" fontId="6" fillId="6" borderId="5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6" borderId="42" xfId="0" applyFill="1" applyBorder="1" applyAlignment="1">
      <alignment horizontal="center"/>
    </xf>
    <xf numFmtId="0" fontId="0" fillId="6" borderId="52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6" borderId="9" xfId="0" applyFill="1" applyBorder="1" applyAlignment="1">
      <alignment horizontal="center" vertical="center"/>
    </xf>
    <xf numFmtId="0" fontId="0" fillId="6" borderId="6" xfId="0" applyFill="1" applyBorder="1" applyAlignment="1">
      <alignment horizontal="center"/>
    </xf>
    <xf numFmtId="0" fontId="6" fillId="7" borderId="48" xfId="0" applyFont="1" applyFill="1" applyBorder="1" applyAlignment="1">
      <alignment horizontal="center" vertical="center"/>
    </xf>
    <xf numFmtId="0" fontId="6" fillId="7" borderId="49" xfId="0" applyFont="1" applyFill="1" applyBorder="1" applyAlignment="1">
      <alignment horizontal="center" vertical="center"/>
    </xf>
    <xf numFmtId="0" fontId="6" fillId="7" borderId="51" xfId="0" applyFont="1" applyFill="1" applyBorder="1" applyAlignment="1">
      <alignment horizontal="center" vertical="center"/>
    </xf>
    <xf numFmtId="0" fontId="0" fillId="0" borderId="61" xfId="0" applyBorder="1"/>
    <xf numFmtId="0" fontId="0" fillId="0" borderId="4" xfId="0" applyBorder="1"/>
    <xf numFmtId="0" fontId="6" fillId="2" borderId="3" xfId="0" applyFont="1" applyFill="1" applyBorder="1"/>
    <xf numFmtId="0" fontId="0" fillId="2" borderId="0" xfId="0" applyFill="1"/>
    <xf numFmtId="0" fontId="0" fillId="2" borderId="63" xfId="0" applyFill="1" applyBorder="1"/>
    <xf numFmtId="0" fontId="0" fillId="2" borderId="64" xfId="0" applyFill="1" applyBorder="1"/>
    <xf numFmtId="0" fontId="0" fillId="2" borderId="65" xfId="0" applyFill="1" applyBorder="1"/>
    <xf numFmtId="0" fontId="0" fillId="2" borderId="66" xfId="0" applyFill="1" applyBorder="1"/>
    <xf numFmtId="0" fontId="0" fillId="2" borderId="68" xfId="0" applyFill="1" applyBorder="1"/>
    <xf numFmtId="0" fontId="0" fillId="2" borderId="69" xfId="0" applyFill="1" applyBorder="1"/>
    <xf numFmtId="165" fontId="45" fillId="6" borderId="3" xfId="0" applyNumberFormat="1" applyFont="1" applyFill="1" applyBorder="1" applyAlignment="1">
      <alignment horizontal="center" vertical="center"/>
    </xf>
    <xf numFmtId="0" fontId="0" fillId="0" borderId="62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10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164" fontId="0" fillId="2" borderId="0" xfId="0" applyNumberFormat="1" applyFill="1" applyAlignment="1">
      <alignment horizontal="center" vertical="center"/>
    </xf>
    <xf numFmtId="0" fontId="0" fillId="0" borderId="73" xfId="0" applyBorder="1"/>
    <xf numFmtId="0" fontId="0" fillId="0" borderId="68" xfId="0" applyBorder="1"/>
    <xf numFmtId="0" fontId="0" fillId="0" borderId="69" xfId="0" applyBorder="1"/>
    <xf numFmtId="0" fontId="6" fillId="0" borderId="0" xfId="0" applyFont="1" applyAlignment="1">
      <alignment horizontal="center" vertical="center" wrapText="1"/>
    </xf>
    <xf numFmtId="0" fontId="6" fillId="2" borderId="3" xfId="0" applyFont="1" applyFill="1" applyBorder="1" applyAlignment="1">
      <alignment horizontal="center"/>
    </xf>
    <xf numFmtId="0" fontId="41" fillId="6" borderId="0" xfId="0" applyFont="1" applyFill="1" applyAlignment="1">
      <alignment horizontal="center"/>
    </xf>
    <xf numFmtId="0" fontId="1" fillId="6" borderId="3" xfId="0" applyFont="1" applyFill="1" applyBorder="1"/>
    <xf numFmtId="166" fontId="45" fillId="6" borderId="3" xfId="0" applyNumberFormat="1" applyFont="1" applyFill="1" applyBorder="1" applyAlignment="1">
      <alignment horizontal="center" vertical="center"/>
    </xf>
    <xf numFmtId="0" fontId="45" fillId="6" borderId="54" xfId="0" applyFont="1" applyFill="1" applyBorder="1" applyAlignment="1">
      <alignment horizontal="center" vertical="center"/>
    </xf>
    <xf numFmtId="0" fontId="45" fillId="6" borderId="55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5" fillId="3" borderId="0" xfId="0" applyFont="1" applyFill="1" applyAlignment="1">
      <alignment horizontal="center" vertical="center"/>
    </xf>
    <xf numFmtId="0" fontId="6" fillId="2" borderId="62" xfId="0" applyFont="1" applyFill="1" applyBorder="1" applyAlignment="1">
      <alignment vertical="center"/>
    </xf>
    <xf numFmtId="0" fontId="6" fillId="2" borderId="63" xfId="0" applyFont="1" applyFill="1" applyBorder="1" applyAlignment="1">
      <alignment horizontal="center" vertical="center"/>
    </xf>
    <xf numFmtId="0" fontId="7" fillId="2" borderId="86" xfId="0" applyFont="1" applyFill="1" applyBorder="1" applyAlignment="1">
      <alignment horizontal="center" vertical="center"/>
    </xf>
    <xf numFmtId="0" fontId="7" fillId="2" borderId="87" xfId="0" applyFont="1" applyFill="1" applyBorder="1" applyAlignment="1">
      <alignment horizontal="center" vertical="center"/>
    </xf>
    <xf numFmtId="0" fontId="0" fillId="2" borderId="73" xfId="0" applyFill="1" applyBorder="1"/>
    <xf numFmtId="4" fontId="47" fillId="2" borderId="0" xfId="0" applyNumberFormat="1" applyFont="1" applyFill="1" applyAlignment="1">
      <alignment horizontal="center" vertical="center"/>
    </xf>
    <xf numFmtId="0" fontId="63" fillId="2" borderId="20" xfId="0" applyFont="1" applyFill="1" applyBorder="1" applyAlignment="1">
      <alignment horizontal="center" vertical="center"/>
    </xf>
    <xf numFmtId="167" fontId="22" fillId="2" borderId="4" xfId="0" applyNumberFormat="1" applyFont="1" applyFill="1" applyBorder="1" applyAlignment="1">
      <alignment horizontal="center" vertical="center"/>
    </xf>
    <xf numFmtId="11" fontId="6" fillId="2" borderId="3" xfId="0" applyNumberFormat="1" applyFont="1" applyFill="1" applyBorder="1" applyAlignment="1">
      <alignment horizontal="center"/>
    </xf>
    <xf numFmtId="0" fontId="46" fillId="2" borderId="3" xfId="0" applyFont="1" applyFill="1" applyBorder="1" applyAlignment="1">
      <alignment horizontal="center"/>
    </xf>
    <xf numFmtId="170" fontId="6" fillId="2" borderId="3" xfId="1" applyNumberFormat="1" applyFont="1" applyFill="1" applyBorder="1" applyAlignment="1">
      <alignment horizontal="center" vertical="center"/>
    </xf>
    <xf numFmtId="0" fontId="0" fillId="0" borderId="68" xfId="0" applyBorder="1" applyAlignment="1">
      <alignment horizontal="center"/>
    </xf>
    <xf numFmtId="166" fontId="0" fillId="6" borderId="3" xfId="0" applyNumberFormat="1" applyFill="1" applyBorder="1"/>
    <xf numFmtId="166" fontId="0" fillId="6" borderId="1" xfId="0" applyNumberFormat="1" applyFill="1" applyBorder="1"/>
    <xf numFmtId="0" fontId="0" fillId="7" borderId="0" xfId="0" applyFill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6" borderId="9" xfId="0" applyFill="1" applyBorder="1" applyAlignment="1">
      <alignment horizontal="center"/>
    </xf>
    <xf numFmtId="180" fontId="0" fillId="6" borderId="3" xfId="0" applyNumberFormat="1" applyFill="1" applyBorder="1" applyAlignment="1">
      <alignment horizontal="center"/>
    </xf>
    <xf numFmtId="0" fontId="5" fillId="3" borderId="54" xfId="0" applyFont="1" applyFill="1" applyBorder="1" applyAlignment="1" applyProtection="1">
      <alignment horizontal="center"/>
      <protection locked="0"/>
    </xf>
    <xf numFmtId="0" fontId="0" fillId="3" borderId="80" xfId="0" applyFill="1" applyBorder="1" applyAlignment="1" applyProtection="1">
      <alignment horizontal="center" vertical="center"/>
      <protection locked="0"/>
    </xf>
    <xf numFmtId="11" fontId="0" fillId="3" borderId="67" xfId="0" applyNumberFormat="1" applyFill="1" applyBorder="1" applyAlignment="1" applyProtection="1">
      <alignment horizontal="center" vertical="center"/>
      <protection locked="0"/>
    </xf>
    <xf numFmtId="164" fontId="47" fillId="3" borderId="3" xfId="0" applyNumberFormat="1" applyFont="1" applyFill="1" applyBorder="1" applyAlignment="1" applyProtection="1">
      <alignment horizontal="center" vertical="center"/>
      <protection locked="0"/>
    </xf>
    <xf numFmtId="177" fontId="47" fillId="3" borderId="3" xfId="0" applyNumberFormat="1" applyFont="1" applyFill="1" applyBorder="1" applyAlignment="1" applyProtection="1">
      <alignment horizontal="center" vertical="center"/>
      <protection locked="0"/>
    </xf>
    <xf numFmtId="4" fontId="43" fillId="6" borderId="3" xfId="0" applyNumberFormat="1" applyFont="1" applyFill="1" applyBorder="1" applyAlignment="1" applyProtection="1">
      <alignment horizontal="center" vertical="center"/>
      <protection locked="0"/>
    </xf>
    <xf numFmtId="164" fontId="43" fillId="6" borderId="3" xfId="0" applyNumberFormat="1" applyFont="1" applyFill="1" applyBorder="1" applyAlignment="1" applyProtection="1">
      <alignment horizontal="center" vertical="center"/>
      <protection locked="0"/>
    </xf>
    <xf numFmtId="4" fontId="47" fillId="3" borderId="3" xfId="0" applyNumberFormat="1" applyFont="1" applyFill="1" applyBorder="1" applyAlignment="1" applyProtection="1">
      <alignment horizontal="center" vertical="center"/>
      <protection locked="0"/>
    </xf>
    <xf numFmtId="179" fontId="6" fillId="6" borderId="81" xfId="1" applyNumberFormat="1" applyFont="1" applyFill="1" applyBorder="1" applyAlignment="1">
      <alignment horizontal="center" vertical="center"/>
    </xf>
    <xf numFmtId="175" fontId="6" fillId="6" borderId="82" xfId="2" applyNumberFormat="1" applyFont="1" applyFill="1" applyBorder="1" applyAlignment="1">
      <alignment horizontal="center" vertical="center"/>
    </xf>
    <xf numFmtId="2" fontId="6" fillId="6" borderId="22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70" fontId="6" fillId="6" borderId="28" xfId="1" applyNumberFormat="1" applyFont="1" applyFill="1" applyBorder="1" applyAlignment="1">
      <alignment horizontal="center" vertical="center"/>
    </xf>
    <xf numFmtId="2" fontId="6" fillId="6" borderId="2" xfId="2" applyNumberFormat="1" applyFont="1" applyFill="1" applyBorder="1" applyAlignment="1">
      <alignment horizontal="center" vertical="center"/>
    </xf>
    <xf numFmtId="174" fontId="5" fillId="6" borderId="22" xfId="2" applyNumberFormat="1" applyFont="1" applyFill="1" applyBorder="1" applyAlignment="1">
      <alignment horizontal="center"/>
    </xf>
    <xf numFmtId="174" fontId="5" fillId="6" borderId="1" xfId="2" applyNumberFormat="1" applyFont="1" applyFill="1" applyBorder="1" applyAlignment="1">
      <alignment horizontal="center"/>
    </xf>
    <xf numFmtId="11" fontId="5" fillId="6" borderId="1" xfId="0" applyNumberFormat="1" applyFont="1" applyFill="1" applyBorder="1" applyAlignment="1">
      <alignment horizontal="center"/>
    </xf>
    <xf numFmtId="175" fontId="5" fillId="6" borderId="1" xfId="2" applyNumberFormat="1" applyFont="1" applyFill="1" applyBorder="1" applyAlignment="1">
      <alignment horizontal="center"/>
    </xf>
    <xf numFmtId="164" fontId="5" fillId="6" borderId="2" xfId="2" applyNumberFormat="1" applyFont="1" applyFill="1" applyBorder="1" applyAlignment="1">
      <alignment horizontal="center"/>
    </xf>
    <xf numFmtId="4" fontId="47" fillId="6" borderId="3" xfId="0" applyNumberFormat="1" applyFont="1" applyFill="1" applyBorder="1" applyAlignment="1" applyProtection="1">
      <alignment horizontal="center" vertical="center"/>
      <protection locked="0"/>
    </xf>
    <xf numFmtId="164" fontId="47" fillId="6" borderId="3" xfId="0" applyNumberFormat="1" applyFont="1" applyFill="1" applyBorder="1" applyAlignment="1" applyProtection="1">
      <alignment horizontal="center" vertical="center"/>
      <protection locked="0"/>
    </xf>
    <xf numFmtId="164" fontId="0" fillId="6" borderId="3" xfId="0" applyNumberFormat="1" applyFill="1" applyBorder="1" applyAlignment="1" applyProtection="1">
      <alignment horizontal="center" vertical="center"/>
      <protection locked="0"/>
    </xf>
    <xf numFmtId="0" fontId="0" fillId="0" borderId="65" xfId="0" applyBorder="1" applyProtection="1">
      <protection locked="0"/>
    </xf>
    <xf numFmtId="0" fontId="0" fillId="0" borderId="0" xfId="0" applyProtection="1">
      <protection locked="0"/>
    </xf>
    <xf numFmtId="0" fontId="0" fillId="0" borderId="66" xfId="0" applyBorder="1" applyProtection="1">
      <protection locked="0"/>
    </xf>
    <xf numFmtId="0" fontId="0" fillId="0" borderId="73" xfId="0" applyBorder="1" applyProtection="1">
      <protection locked="0"/>
    </xf>
    <xf numFmtId="0" fontId="0" fillId="0" borderId="68" xfId="0" applyBorder="1" applyProtection="1">
      <protection locked="0"/>
    </xf>
    <xf numFmtId="0" fontId="0" fillId="0" borderId="69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24" xfId="0" applyBorder="1" applyProtection="1">
      <protection locked="0"/>
    </xf>
    <xf numFmtId="0" fontId="0" fillId="2" borderId="22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66" fillId="2" borderId="12" xfId="0" applyFont="1" applyFill="1" applyBorder="1" applyAlignment="1">
      <alignment vertical="center"/>
    </xf>
    <xf numFmtId="0" fontId="66" fillId="2" borderId="13" xfId="0" applyFont="1" applyFill="1" applyBorder="1" applyAlignment="1">
      <alignment vertical="center"/>
    </xf>
    <xf numFmtId="0" fontId="66" fillId="2" borderId="0" xfId="0" applyFont="1" applyFill="1" applyAlignment="1">
      <alignment vertical="center"/>
    </xf>
    <xf numFmtId="0" fontId="66" fillId="2" borderId="15" xfId="0" applyFont="1" applyFill="1" applyBorder="1" applyAlignment="1">
      <alignment vertical="center"/>
    </xf>
    <xf numFmtId="0" fontId="66" fillId="2" borderId="17" xfId="0" applyFont="1" applyFill="1" applyBorder="1" applyAlignment="1">
      <alignment vertical="center"/>
    </xf>
    <xf numFmtId="0" fontId="66" fillId="2" borderId="18" xfId="0" applyFont="1" applyFill="1" applyBorder="1" applyAlignment="1">
      <alignment vertical="center"/>
    </xf>
    <xf numFmtId="0" fontId="70" fillId="2" borderId="0" xfId="0" applyFont="1" applyFill="1" applyAlignment="1">
      <alignment horizontal="right" vertical="center"/>
    </xf>
    <xf numFmtId="0" fontId="55" fillId="6" borderId="60" xfId="0" applyFont="1" applyFill="1" applyBorder="1" applyAlignment="1">
      <alignment horizontal="center" vertical="center"/>
    </xf>
    <xf numFmtId="0" fontId="0" fillId="6" borderId="78" xfId="0" applyFill="1" applyBorder="1" applyAlignment="1">
      <alignment horizontal="center" vertical="center"/>
    </xf>
    <xf numFmtId="165" fontId="0" fillId="0" borderId="53" xfId="0" applyNumberFormat="1" applyBorder="1" applyAlignment="1">
      <alignment horizontal="center" vertical="center"/>
    </xf>
    <xf numFmtId="2" fontId="0" fillId="0" borderId="53" xfId="0" applyNumberFormat="1" applyBorder="1" applyAlignment="1">
      <alignment horizontal="center" vertical="center"/>
    </xf>
    <xf numFmtId="0" fontId="38" fillId="0" borderId="0" xfId="0" applyFon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0" fontId="0" fillId="0" borderId="0" xfId="2" applyNumberFormat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175" fontId="0" fillId="0" borderId="0" xfId="2" applyNumberFormat="1" applyFont="1" applyProtection="1">
      <protection locked="0"/>
    </xf>
    <xf numFmtId="165" fontId="0" fillId="0" borderId="0" xfId="0" applyNumberFormat="1" applyAlignment="1" applyProtection="1">
      <alignment horizontal="center"/>
      <protection locked="0"/>
    </xf>
    <xf numFmtId="175" fontId="0" fillId="0" borderId="0" xfId="2" applyNumberFormat="1" applyFont="1" applyAlignment="1" applyProtection="1">
      <alignment horizontal="center"/>
      <protection locked="0"/>
    </xf>
    <xf numFmtId="2" fontId="0" fillId="0" borderId="0" xfId="0" applyNumberFormat="1" applyProtection="1">
      <protection locked="0"/>
    </xf>
    <xf numFmtId="2" fontId="6" fillId="0" borderId="0" xfId="0" applyNumberFormat="1" applyFont="1" applyAlignment="1" applyProtection="1">
      <alignment horizontal="center" vertical="center"/>
      <protection locked="0"/>
    </xf>
    <xf numFmtId="10" fontId="0" fillId="0" borderId="0" xfId="0" applyNumberFormat="1" applyProtection="1">
      <protection locked="0"/>
    </xf>
    <xf numFmtId="0" fontId="0" fillId="0" borderId="76" xfId="0" applyBorder="1" applyAlignment="1">
      <alignment vertical="center"/>
    </xf>
    <xf numFmtId="0" fontId="55" fillId="6" borderId="4" xfId="0" applyFont="1" applyFill="1" applyBorder="1" applyAlignment="1">
      <alignment horizontal="center" vertical="center"/>
    </xf>
    <xf numFmtId="10" fontId="0" fillId="0" borderId="76" xfId="2" applyNumberFormat="1" applyFont="1" applyBorder="1" applyAlignment="1" applyProtection="1">
      <alignment vertical="center"/>
    </xf>
    <xf numFmtId="10" fontId="0" fillId="0" borderId="76" xfId="0" applyNumberFormat="1" applyBorder="1" applyAlignment="1">
      <alignment vertical="center"/>
    </xf>
    <xf numFmtId="9" fontId="0" fillId="0" borderId="93" xfId="0" applyNumberFormat="1" applyBorder="1"/>
    <xf numFmtId="0" fontId="0" fillId="0" borderId="76" xfId="0" applyBorder="1" applyAlignment="1">
      <alignment horizontal="right" vertical="center"/>
    </xf>
    <xf numFmtId="166" fontId="0" fillId="0" borderId="76" xfId="0" applyNumberFormat="1" applyBorder="1" applyAlignment="1">
      <alignment vertical="center"/>
    </xf>
    <xf numFmtId="2" fontId="0" fillId="0" borderId="76" xfId="0" applyNumberFormat="1" applyBorder="1" applyAlignment="1">
      <alignment vertical="center"/>
    </xf>
    <xf numFmtId="0" fontId="55" fillId="6" borderId="92" xfId="0" applyFont="1" applyFill="1" applyBorder="1" applyAlignment="1">
      <alignment horizontal="center" vertical="center"/>
    </xf>
    <xf numFmtId="0" fontId="52" fillId="6" borderId="4" xfId="0" applyFont="1" applyFill="1" applyBorder="1" applyAlignment="1">
      <alignment horizontal="center" vertical="center"/>
    </xf>
    <xf numFmtId="0" fontId="0" fillId="0" borderId="95" xfId="0" applyBorder="1"/>
    <xf numFmtId="0" fontId="0" fillId="6" borderId="58" xfId="0" applyFill="1" applyBorder="1" applyAlignment="1">
      <alignment horizontal="center" vertical="center"/>
    </xf>
    <xf numFmtId="169" fontId="0" fillId="0" borderId="59" xfId="0" applyNumberFormat="1" applyBorder="1" applyAlignment="1">
      <alignment horizontal="center" vertical="center"/>
    </xf>
    <xf numFmtId="2" fontId="0" fillId="0" borderId="59" xfId="0" applyNumberFormat="1" applyBorder="1" applyAlignment="1">
      <alignment horizontal="center" vertical="center"/>
    </xf>
    <xf numFmtId="165" fontId="0" fillId="0" borderId="59" xfId="0" applyNumberFormat="1" applyBorder="1" applyAlignment="1">
      <alignment horizontal="center" vertical="center"/>
    </xf>
    <xf numFmtId="1" fontId="0" fillId="0" borderId="59" xfId="0" applyNumberFormat="1" applyBorder="1" applyAlignment="1">
      <alignment horizontal="center" vertical="center"/>
    </xf>
    <xf numFmtId="164" fontId="0" fillId="0" borderId="59" xfId="0" applyNumberFormat="1" applyBorder="1" applyAlignment="1">
      <alignment horizontal="center" vertical="center"/>
    </xf>
    <xf numFmtId="0" fontId="0" fillId="0" borderId="96" xfId="0" applyBorder="1"/>
    <xf numFmtId="175" fontId="6" fillId="6" borderId="77" xfId="2" applyNumberFormat="1" applyFont="1" applyFill="1" applyBorder="1" applyAlignment="1" applyProtection="1">
      <alignment vertical="center"/>
    </xf>
    <xf numFmtId="175" fontId="6" fillId="6" borderId="75" xfId="2" applyNumberFormat="1" applyFont="1" applyFill="1" applyBorder="1" applyAlignment="1" applyProtection="1">
      <alignment vertical="center"/>
    </xf>
    <xf numFmtId="2" fontId="5" fillId="6" borderId="54" xfId="0" applyNumberFormat="1" applyFont="1" applyFill="1" applyBorder="1" applyAlignment="1">
      <alignment horizontal="center"/>
    </xf>
    <xf numFmtId="2" fontId="5" fillId="6" borderId="67" xfId="0" applyNumberFormat="1" applyFon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0" fontId="6" fillId="6" borderId="3" xfId="0" applyFont="1" applyFill="1" applyBorder="1"/>
    <xf numFmtId="0" fontId="6" fillId="6" borderId="3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2" fontId="5" fillId="6" borderId="3" xfId="0" applyNumberFormat="1" applyFont="1" applyFill="1" applyBorder="1" applyAlignment="1">
      <alignment horizontal="center" vertical="center"/>
    </xf>
    <xf numFmtId="0" fontId="49" fillId="3" borderId="85" xfId="0" applyFont="1" applyFill="1" applyBorder="1" applyAlignment="1" applyProtection="1">
      <alignment horizontal="center"/>
      <protection locked="0"/>
    </xf>
    <xf numFmtId="1" fontId="0" fillId="0" borderId="3" xfId="0" applyNumberFormat="1" applyBorder="1" applyAlignment="1">
      <alignment horizontal="center"/>
    </xf>
    <xf numFmtId="0" fontId="0" fillId="2" borderId="17" xfId="0" applyFill="1" applyBorder="1" applyAlignment="1">
      <alignment horizontal="left"/>
    </xf>
    <xf numFmtId="0" fontId="65" fillId="2" borderId="11" xfId="0" applyFont="1" applyFill="1" applyBorder="1" applyAlignment="1">
      <alignment horizontal="center"/>
    </xf>
    <xf numFmtId="0" fontId="65" fillId="2" borderId="12" xfId="0" applyFont="1" applyFill="1" applyBorder="1" applyAlignment="1">
      <alignment horizontal="center"/>
    </xf>
    <xf numFmtId="0" fontId="65" fillId="2" borderId="13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4" fillId="6" borderId="58" xfId="0" applyFont="1" applyFill="1" applyBorder="1" applyAlignment="1">
      <alignment horizontal="center"/>
    </xf>
    <xf numFmtId="0" fontId="64" fillId="6" borderId="74" xfId="0" applyFont="1" applyFill="1" applyBorder="1" applyAlignment="1">
      <alignment horizontal="center"/>
    </xf>
    <xf numFmtId="0" fontId="64" fillId="6" borderId="7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177" fontId="5" fillId="6" borderId="22" xfId="0" applyNumberFormat="1" applyFont="1" applyFill="1" applyBorder="1" applyAlignment="1">
      <alignment horizontal="center"/>
    </xf>
    <xf numFmtId="177" fontId="5" fillId="6" borderId="1" xfId="0" applyNumberFormat="1" applyFont="1" applyFill="1" applyBorder="1" applyAlignment="1">
      <alignment horizontal="center"/>
    </xf>
    <xf numFmtId="175" fontId="5" fillId="6" borderId="22" xfId="2" applyNumberFormat="1" applyFont="1" applyFill="1" applyBorder="1" applyAlignment="1">
      <alignment horizontal="center"/>
    </xf>
    <xf numFmtId="175" fontId="5" fillId="6" borderId="1" xfId="2" applyNumberFormat="1" applyFont="1" applyFill="1" applyBorder="1" applyAlignment="1">
      <alignment horizontal="center"/>
    </xf>
    <xf numFmtId="0" fontId="6" fillId="2" borderId="83" xfId="0" applyFont="1" applyFill="1" applyBorder="1" applyAlignment="1">
      <alignment horizontal="center"/>
    </xf>
    <xf numFmtId="0" fontId="6" fillId="2" borderId="84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 vertical="center" wrapText="1"/>
    </xf>
    <xf numFmtId="0" fontId="9" fillId="2" borderId="30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/>
    </xf>
    <xf numFmtId="0" fontId="6" fillId="2" borderId="56" xfId="0" applyFont="1" applyFill="1" applyBorder="1" applyAlignment="1">
      <alignment horizontal="center" vertical="center"/>
    </xf>
    <xf numFmtId="0" fontId="6" fillId="2" borderId="57" xfId="0" applyFont="1" applyFill="1" applyBorder="1" applyAlignment="1">
      <alignment horizontal="center" vertical="center"/>
    </xf>
    <xf numFmtId="0" fontId="74" fillId="2" borderId="19" xfId="0" applyFont="1" applyFill="1" applyBorder="1" applyAlignment="1">
      <alignment horizontal="center" vertical="center"/>
    </xf>
    <xf numFmtId="0" fontId="74" fillId="2" borderId="21" xfId="0" applyFont="1" applyFill="1" applyBorder="1" applyAlignment="1">
      <alignment horizontal="center" vertical="center"/>
    </xf>
    <xf numFmtId="0" fontId="64" fillId="3" borderId="28" xfId="0" applyFont="1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6" fillId="2" borderId="22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167" fontId="5" fillId="6" borderId="22" xfId="2" applyNumberFormat="1" applyFont="1" applyFill="1" applyBorder="1" applyAlignment="1">
      <alignment horizontal="center"/>
    </xf>
    <xf numFmtId="167" fontId="5" fillId="6" borderId="1" xfId="2" applyNumberFormat="1" applyFont="1" applyFill="1" applyBorder="1" applyAlignment="1">
      <alignment horizontal="center"/>
    </xf>
    <xf numFmtId="0" fontId="0" fillId="2" borderId="56" xfId="0" applyFill="1" applyBorder="1" applyAlignment="1">
      <alignment horizontal="center" vertical="center" wrapText="1"/>
    </xf>
    <xf numFmtId="0" fontId="0" fillId="2" borderId="60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6" fillId="2" borderId="70" xfId="0" applyFont="1" applyFill="1" applyBorder="1" applyAlignment="1">
      <alignment horizontal="center" vertical="center"/>
    </xf>
    <xf numFmtId="0" fontId="6" fillId="2" borderId="71" xfId="0" applyFont="1" applyFill="1" applyBorder="1" applyAlignment="1">
      <alignment horizontal="center" vertical="center"/>
    </xf>
    <xf numFmtId="0" fontId="6" fillId="2" borderId="72" xfId="0" applyFont="1" applyFill="1" applyBorder="1" applyAlignment="1">
      <alignment horizontal="center" vertical="center"/>
    </xf>
    <xf numFmtId="0" fontId="6" fillId="2" borderId="53" xfId="0" applyFont="1" applyFill="1" applyBorder="1" applyAlignment="1">
      <alignment horizontal="center" vertical="center" wrapText="1"/>
    </xf>
    <xf numFmtId="0" fontId="6" fillId="2" borderId="53" xfId="0" applyFont="1" applyFill="1" applyBorder="1" applyAlignment="1">
      <alignment horizontal="center" vertical="center"/>
    </xf>
    <xf numFmtId="0" fontId="6" fillId="2" borderId="53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 vertical="center"/>
    </xf>
    <xf numFmtId="0" fontId="6" fillId="6" borderId="5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3" fontId="5" fillId="6" borderId="22" xfId="2" applyNumberFormat="1" applyFont="1" applyFill="1" applyBorder="1" applyAlignment="1">
      <alignment horizontal="center" vertical="center"/>
    </xf>
    <xf numFmtId="3" fontId="5" fillId="6" borderId="1" xfId="2" applyNumberFormat="1" applyFont="1" applyFill="1" applyBorder="1" applyAlignment="1">
      <alignment horizontal="center" vertical="center"/>
    </xf>
    <xf numFmtId="0" fontId="67" fillId="7" borderId="0" xfId="0" applyFont="1" applyFill="1" applyAlignment="1">
      <alignment horizontal="left" vertical="center"/>
    </xf>
    <xf numFmtId="180" fontId="67" fillId="7" borderId="0" xfId="0" applyNumberFormat="1" applyFont="1" applyFill="1" applyAlignment="1">
      <alignment horizontal="right" vertical="center"/>
    </xf>
    <xf numFmtId="0" fontId="70" fillId="6" borderId="19" xfId="0" applyFont="1" applyFill="1" applyBorder="1" applyAlignment="1">
      <alignment horizontal="center" vertical="center"/>
    </xf>
    <xf numFmtId="0" fontId="70" fillId="6" borderId="38" xfId="0" applyFont="1" applyFill="1" applyBorder="1" applyAlignment="1">
      <alignment horizontal="center" vertical="center"/>
    </xf>
    <xf numFmtId="0" fontId="71" fillId="6" borderId="19" xfId="0" applyFont="1" applyFill="1" applyBorder="1" applyAlignment="1">
      <alignment horizontal="center" vertical="center"/>
    </xf>
    <xf numFmtId="0" fontId="71" fillId="6" borderId="28" xfId="0" applyFont="1" applyFill="1" applyBorder="1" applyAlignment="1">
      <alignment horizontal="center" vertical="center"/>
    </xf>
    <xf numFmtId="0" fontId="73" fillId="7" borderId="21" xfId="0" applyFont="1" applyFill="1" applyBorder="1" applyAlignment="1" applyProtection="1">
      <alignment horizontal="center" vertical="center"/>
      <protection locked="0"/>
    </xf>
    <xf numFmtId="0" fontId="73" fillId="7" borderId="35" xfId="0" applyFont="1" applyFill="1" applyBorder="1" applyAlignment="1" applyProtection="1">
      <alignment horizontal="center" vertical="center"/>
      <protection locked="0"/>
    </xf>
    <xf numFmtId="0" fontId="73" fillId="7" borderId="31" xfId="0" applyFont="1" applyFill="1" applyBorder="1" applyAlignment="1" applyProtection="1">
      <alignment horizontal="center" vertical="center"/>
      <protection locked="0"/>
    </xf>
    <xf numFmtId="0" fontId="73" fillId="7" borderId="88" xfId="0" applyFont="1" applyFill="1" applyBorder="1" applyAlignment="1" applyProtection="1">
      <alignment horizontal="center" vertical="center"/>
      <protection locked="0"/>
    </xf>
    <xf numFmtId="0" fontId="68" fillId="7" borderId="0" xfId="0" applyFont="1" applyFill="1" applyAlignment="1">
      <alignment horizontal="center" vertical="center"/>
    </xf>
    <xf numFmtId="0" fontId="66" fillId="2" borderId="11" xfId="0" applyFont="1" applyFill="1" applyBorder="1" applyAlignment="1">
      <alignment horizontal="center" vertical="center"/>
    </xf>
    <xf numFmtId="0" fontId="66" fillId="2" borderId="12" xfId="0" applyFont="1" applyFill="1" applyBorder="1" applyAlignment="1">
      <alignment horizontal="center" vertical="center"/>
    </xf>
    <xf numFmtId="0" fontId="66" fillId="2" borderId="14" xfId="0" applyFont="1" applyFill="1" applyBorder="1" applyAlignment="1">
      <alignment horizontal="center" vertical="center"/>
    </xf>
    <xf numFmtId="0" fontId="66" fillId="2" borderId="0" xfId="0" applyFont="1" applyFill="1" applyAlignment="1">
      <alignment horizontal="center" vertical="center"/>
    </xf>
    <xf numFmtId="0" fontId="66" fillId="2" borderId="16" xfId="0" applyFont="1" applyFill="1" applyBorder="1" applyAlignment="1">
      <alignment horizontal="center" vertical="center"/>
    </xf>
    <xf numFmtId="0" fontId="66" fillId="2" borderId="17" xfId="0" applyFont="1" applyFill="1" applyBorder="1" applyAlignment="1">
      <alignment horizontal="center" vertical="center"/>
    </xf>
    <xf numFmtId="0" fontId="66" fillId="6" borderId="0" xfId="0" applyFont="1" applyFill="1" applyAlignment="1">
      <alignment horizontal="center" vertical="center"/>
    </xf>
    <xf numFmtId="0" fontId="50" fillId="4" borderId="89" xfId="0" applyFont="1" applyFill="1" applyBorder="1" applyAlignment="1">
      <alignment horizontal="center"/>
    </xf>
    <xf numFmtId="0" fontId="50" fillId="4" borderId="90" xfId="0" applyFont="1" applyFill="1" applyBorder="1" applyAlignment="1">
      <alignment horizontal="center"/>
    </xf>
    <xf numFmtId="0" fontId="50" fillId="4" borderId="91" xfId="0" applyFont="1" applyFill="1" applyBorder="1" applyAlignment="1">
      <alignment horizontal="center"/>
    </xf>
    <xf numFmtId="0" fontId="51" fillId="6" borderId="57" xfId="0" applyFont="1" applyFill="1" applyBorder="1" applyAlignment="1">
      <alignment horizontal="center" vertical="center"/>
    </xf>
    <xf numFmtId="0" fontId="51" fillId="6" borderId="79" xfId="0" applyFont="1" applyFill="1" applyBorder="1" applyAlignment="1">
      <alignment horizontal="center" vertical="center"/>
    </xf>
    <xf numFmtId="0" fontId="51" fillId="6" borderId="60" xfId="0" applyFont="1" applyFill="1" applyBorder="1" applyAlignment="1">
      <alignment horizontal="center"/>
    </xf>
    <xf numFmtId="0" fontId="51" fillId="6" borderId="92" xfId="0" applyFont="1" applyFill="1" applyBorder="1" applyAlignment="1">
      <alignment horizontal="center"/>
    </xf>
    <xf numFmtId="0" fontId="51" fillId="6" borderId="59" xfId="0" applyFont="1" applyFill="1" applyBorder="1" applyAlignment="1">
      <alignment horizontal="center" vertical="center"/>
    </xf>
    <xf numFmtId="0" fontId="51" fillId="6" borderId="59" xfId="0" applyFont="1" applyFill="1" applyBorder="1" applyAlignment="1">
      <alignment horizontal="center" vertical="center" wrapText="1"/>
    </xf>
    <xf numFmtId="0" fontId="51" fillId="6" borderId="59" xfId="0" applyFont="1" applyFill="1" applyBorder="1" applyAlignment="1">
      <alignment horizontal="center"/>
    </xf>
    <xf numFmtId="0" fontId="51" fillId="6" borderId="4" xfId="0" applyFont="1" applyFill="1" applyBorder="1" applyAlignment="1">
      <alignment horizontal="center"/>
    </xf>
    <xf numFmtId="0" fontId="55" fillId="6" borderId="59" xfId="0" applyFont="1" applyFill="1" applyBorder="1" applyAlignment="1">
      <alignment horizontal="center" vertical="center"/>
    </xf>
    <xf numFmtId="0" fontId="55" fillId="6" borderId="58" xfId="0" applyFont="1" applyFill="1" applyBorder="1" applyAlignment="1">
      <alignment horizontal="center"/>
    </xf>
    <xf numFmtId="0" fontId="55" fillId="6" borderId="61" xfId="0" applyFont="1" applyFill="1" applyBorder="1" applyAlignment="1">
      <alignment horizontal="center"/>
    </xf>
    <xf numFmtId="0" fontId="52" fillId="6" borderId="77" xfId="0" applyFont="1" applyFill="1" applyBorder="1" applyAlignment="1">
      <alignment horizontal="center" vertical="center"/>
    </xf>
    <xf numFmtId="0" fontId="52" fillId="6" borderId="94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19" xfId="0" applyFill="1" applyBorder="1" applyAlignment="1">
      <alignment horizontal="center" vertical="center"/>
    </xf>
    <xf numFmtId="0" fontId="21" fillId="2" borderId="2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5" xfId="0" applyBorder="1" applyAlignment="1">
      <alignment horizontal="center"/>
    </xf>
    <xf numFmtId="0" fontId="30" fillId="4" borderId="26" xfId="0" applyFont="1" applyFill="1" applyBorder="1" applyAlignment="1">
      <alignment horizontal="center"/>
    </xf>
    <xf numFmtId="0" fontId="30" fillId="4" borderId="27" xfId="0" applyFont="1" applyFill="1" applyBorder="1" applyAlignment="1">
      <alignment horizontal="center"/>
    </xf>
    <xf numFmtId="0" fontId="30" fillId="4" borderId="31" xfId="0" applyFont="1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167" fontId="0" fillId="2" borderId="3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6" fillId="2" borderId="29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17" fillId="2" borderId="38" xfId="0" applyFont="1" applyFill="1" applyBorder="1" applyAlignment="1">
      <alignment horizontal="center"/>
    </xf>
    <xf numFmtId="0" fontId="17" fillId="2" borderId="9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17" fillId="2" borderId="5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0" fontId="17" fillId="2" borderId="22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0" fontId="21" fillId="2" borderId="22" xfId="0" applyFont="1" applyFill="1" applyBorder="1" applyAlignment="1">
      <alignment horizont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167" fontId="22" fillId="2" borderId="22" xfId="0" applyNumberFormat="1" applyFont="1" applyFill="1" applyBorder="1" applyAlignment="1">
      <alignment horizontal="center" vertical="center"/>
    </xf>
    <xf numFmtId="167" fontId="22" fillId="2" borderId="1" xfId="0" applyNumberFormat="1" applyFont="1" applyFill="1" applyBorder="1" applyAlignment="1">
      <alignment horizontal="center" vertical="center"/>
    </xf>
    <xf numFmtId="167" fontId="22" fillId="2" borderId="4" xfId="0" applyNumberFormat="1" applyFont="1" applyFill="1" applyBorder="1" applyAlignment="1">
      <alignment horizontal="center" vertical="center"/>
    </xf>
    <xf numFmtId="0" fontId="0" fillId="2" borderId="41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17" fillId="2" borderId="28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168" fontId="17" fillId="2" borderId="42" xfId="0" applyNumberFormat="1" applyFont="1" applyFill="1" applyBorder="1" applyAlignment="1">
      <alignment horizontal="center" vertical="center"/>
    </xf>
    <xf numFmtId="168" fontId="17" fillId="2" borderId="4" xfId="0" applyNumberFormat="1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2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68" fontId="17" fillId="2" borderId="24" xfId="0" applyNumberFormat="1" applyFont="1" applyFill="1" applyBorder="1" applyAlignment="1">
      <alignment horizontal="center"/>
    </xf>
    <xf numFmtId="0" fontId="17" fillId="2" borderId="24" xfId="0" applyFont="1" applyFill="1" applyBorder="1" applyAlignment="1">
      <alignment horizontal="center"/>
    </xf>
    <xf numFmtId="0" fontId="17" fillId="2" borderId="34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30" fillId="4" borderId="44" xfId="0" applyFont="1" applyFill="1" applyBorder="1" applyAlignment="1">
      <alignment horizontal="center"/>
    </xf>
    <xf numFmtId="0" fontId="30" fillId="4" borderId="46" xfId="0" applyFont="1" applyFill="1" applyBorder="1" applyAlignment="1">
      <alignment horizontal="center"/>
    </xf>
    <xf numFmtId="167" fontId="17" fillId="2" borderId="3" xfId="0" applyNumberFormat="1" applyFont="1" applyFill="1" applyBorder="1" applyAlignment="1">
      <alignment horizontal="center" vertical="center"/>
    </xf>
    <xf numFmtId="167" fontId="17" fillId="2" borderId="4" xfId="0" applyNumberFormat="1" applyFont="1" applyFill="1" applyBorder="1" applyAlignment="1">
      <alignment horizontal="center" vertical="center"/>
    </xf>
    <xf numFmtId="0" fontId="0" fillId="0" borderId="3" xfId="0" applyBorder="1"/>
    <xf numFmtId="0" fontId="2" fillId="2" borderId="3" xfId="0" applyFont="1" applyFill="1" applyBorder="1" applyAlignment="1">
      <alignment horizontal="center"/>
    </xf>
    <xf numFmtId="167" fontId="0" fillId="2" borderId="23" xfId="0" applyNumberFormat="1" applyFill="1" applyBorder="1" applyAlignment="1">
      <alignment horizontal="center" vertical="center"/>
    </xf>
    <xf numFmtId="167" fontId="0" fillId="2" borderId="97" xfId="0" applyNumberFormat="1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43" fillId="6" borderId="3" xfId="0" applyFont="1" applyFill="1" applyBorder="1" applyAlignment="1">
      <alignment horizontal="center"/>
    </xf>
    <xf numFmtId="0" fontId="21" fillId="2" borderId="45" xfId="0" applyFont="1" applyFill="1" applyBorder="1" applyAlignment="1">
      <alignment horizontal="center"/>
    </xf>
    <xf numFmtId="0" fontId="17" fillId="2" borderId="4" xfId="0" applyFont="1" applyFill="1" applyBorder="1" applyAlignment="1">
      <alignment horizontal="center"/>
    </xf>
    <xf numFmtId="0" fontId="44" fillId="2" borderId="14" xfId="0" applyFont="1" applyFill="1" applyBorder="1" applyAlignment="1">
      <alignment horizontal="center" vertical="center"/>
    </xf>
    <xf numFmtId="0" fontId="44" fillId="2" borderId="16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8" fontId="17" fillId="2" borderId="20" xfId="0" applyNumberFormat="1" applyFont="1" applyFill="1" applyBorder="1" applyAlignment="1">
      <alignment horizontal="center" vertical="center"/>
    </xf>
    <xf numFmtId="168" fontId="17" fillId="2" borderId="21" xfId="0" applyNumberFormat="1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/>
    </xf>
    <xf numFmtId="167" fontId="17" fillId="2" borderId="38" xfId="0" applyNumberFormat="1" applyFont="1" applyFill="1" applyBorder="1" applyAlignment="1">
      <alignment horizontal="center" vertical="center"/>
    </xf>
    <xf numFmtId="167" fontId="17" fillId="2" borderId="35" xfId="0" applyNumberFormat="1" applyFont="1" applyFill="1" applyBorder="1" applyAlignment="1">
      <alignment horizontal="center" vertical="center"/>
    </xf>
    <xf numFmtId="167" fontId="17" fillId="2" borderId="5" xfId="0" applyNumberFormat="1" applyFont="1" applyFill="1" applyBorder="1" applyAlignment="1">
      <alignment horizontal="center" vertical="center"/>
    </xf>
    <xf numFmtId="168" fontId="22" fillId="2" borderId="38" xfId="0" applyNumberFormat="1" applyFont="1" applyFill="1" applyBorder="1" applyAlignment="1">
      <alignment horizontal="center" vertical="center"/>
    </xf>
    <xf numFmtId="168" fontId="22" fillId="2" borderId="35" xfId="0" applyNumberFormat="1" applyFont="1" applyFill="1" applyBorder="1" applyAlignment="1">
      <alignment horizontal="center" vertical="center"/>
    </xf>
    <xf numFmtId="167" fontId="22" fillId="2" borderId="28" xfId="0" applyNumberFormat="1" applyFont="1" applyFill="1" applyBorder="1" applyAlignment="1">
      <alignment horizontal="center" vertical="center"/>
    </xf>
    <xf numFmtId="167" fontId="22" fillId="2" borderId="2" xfId="0" applyNumberFormat="1" applyFont="1" applyFill="1" applyBorder="1" applyAlignment="1">
      <alignment horizontal="center" vertical="center"/>
    </xf>
    <xf numFmtId="167" fontId="22" fillId="2" borderId="42" xfId="0" applyNumberFormat="1" applyFont="1" applyFill="1" applyBorder="1" applyAlignment="1">
      <alignment horizontal="center" vertical="center"/>
    </xf>
    <xf numFmtId="167" fontId="31" fillId="4" borderId="43" xfId="0" applyNumberFormat="1" applyFont="1" applyFill="1" applyBorder="1" applyAlignment="1">
      <alignment horizontal="center" vertical="center"/>
    </xf>
    <xf numFmtId="167" fontId="31" fillId="4" borderId="34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45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center" vertical="center"/>
    </xf>
    <xf numFmtId="0" fontId="42" fillId="2" borderId="3" xfId="0" applyFont="1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41" fillId="6" borderId="3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3">
    <cellStyle name="Normal" xfId="0" builtinId="0"/>
    <cellStyle name="Porcentagem" xfId="2" builtinId="5"/>
    <cellStyle name="Vírgula" xfId="1" builtinId="3"/>
  </cellStyles>
  <dxfs count="1">
    <dxf>
      <font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Análises!$B$2</c:f>
              <c:strCache>
                <c:ptCount val="1"/>
                <c:pt idx="0">
                  <c:v>R%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Análises!$A$3:$A$7</c:f>
              <c:numCache>
                <c:formatCode>General</c:formatCode>
                <c:ptCount val="5"/>
                <c:pt idx="0">
                  <c:v>1.04</c:v>
                </c:pt>
                <c:pt idx="1">
                  <c:v>1.17</c:v>
                </c:pt>
                <c:pt idx="2">
                  <c:v>1.3</c:v>
                </c:pt>
                <c:pt idx="3">
                  <c:v>1.56</c:v>
                </c:pt>
                <c:pt idx="4">
                  <c:v>1.82</c:v>
                </c:pt>
              </c:numCache>
            </c:numRef>
          </c:xVal>
          <c:yVal>
            <c:numRef>
              <c:f>Análises!$B$3:$B$7</c:f>
              <c:numCache>
                <c:formatCode>General</c:formatCode>
                <c:ptCount val="5"/>
                <c:pt idx="0">
                  <c:v>4.5102114180818727E-2</c:v>
                </c:pt>
                <c:pt idx="1">
                  <c:v>5.1025747230129891E-2</c:v>
                </c:pt>
                <c:pt idx="2">
                  <c:v>5.7009413383363183E-2</c:v>
                </c:pt>
                <c:pt idx="3">
                  <c:v>6.9152803090688025E-2</c:v>
                </c:pt>
                <c:pt idx="4">
                  <c:v>8.1524330836865944E-2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8E-4C16-9013-59439CCFACEA}"/>
            </c:ext>
          </c:extLst>
        </c:ser>
        <c:ser>
          <c:idx val="1"/>
          <c:order val="1"/>
          <c:tx>
            <c:strRef>
              <c:f>Análises!$C$2</c:f>
              <c:strCache>
                <c:ptCount val="1"/>
                <c:pt idx="0">
                  <c:v>P%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Análises!$A$3:$A$7</c:f>
              <c:numCache>
                <c:formatCode>General</c:formatCode>
                <c:ptCount val="5"/>
                <c:pt idx="0">
                  <c:v>1.04</c:v>
                </c:pt>
                <c:pt idx="1">
                  <c:v>1.17</c:v>
                </c:pt>
                <c:pt idx="2">
                  <c:v>1.3</c:v>
                </c:pt>
                <c:pt idx="3">
                  <c:v>1.56</c:v>
                </c:pt>
                <c:pt idx="4">
                  <c:v>1.82</c:v>
                </c:pt>
              </c:numCache>
            </c:numRef>
          </c:xVal>
          <c:yVal>
            <c:numRef>
              <c:f>Análises!$C$3:$C$7</c:f>
              <c:numCache>
                <c:formatCode>General</c:formatCode>
                <c:ptCount val="5"/>
                <c:pt idx="0">
                  <c:v>4.1084544082669018E-2</c:v>
                </c:pt>
                <c:pt idx="1">
                  <c:v>4.5972186569589603E-2</c:v>
                </c:pt>
                <c:pt idx="2">
                  <c:v>5.0811341021146601E-2</c:v>
                </c:pt>
                <c:pt idx="3">
                  <c:v>6.0345979440972447E-2</c:v>
                </c:pt>
                <c:pt idx="4">
                  <c:v>6.9692757017001311E-2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8E-4C16-9013-59439CCFA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9475936"/>
        <c:axId val="1399477856"/>
      </c:scatterChart>
      <c:valAx>
        <c:axId val="139947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477856"/>
        <c:crosses val="autoZero"/>
        <c:crossBetween val="midCat"/>
      </c:valAx>
      <c:valAx>
        <c:axId val="139947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475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Calc!$M$6" lockText="1"/>
</file>

<file path=xl/ctrlProps/ctrlProp2.xml><?xml version="1.0" encoding="utf-8"?>
<formControlPr xmlns="http://schemas.microsoft.com/office/spreadsheetml/2009/9/main" objectType="Drop" dropStyle="combo" dx="16" fmlaLink="CA!$W$1" fmlaRange="CA!$B$5:$B$62" sel="15" val="50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Drop" dropStyle="combo" dx="16" fmlaLink="CAA!$W$1" fmlaRange="CAA!$B$5:$B$80" sel="23" val="68"/>
</file>

<file path=xl/ctrlProps/ctrlProp5.xml><?xml version="1.0" encoding="utf-8"?>
<formControlPr xmlns="http://schemas.microsoft.com/office/spreadsheetml/2009/9/main" objectType="Drop" dropLines="2" dropStyle="combo" dx="16" fmlaLink="Calc!$G$1" fmlaRange="Calc!$H$1:$H$2" sel="1" val="0"/>
</file>

<file path=xl/ctrlProps/ctrlProp6.xml><?xml version="1.0" encoding="utf-8"?>
<formControlPr xmlns="http://schemas.microsoft.com/office/spreadsheetml/2009/9/main" objectType="Drop" dropLines="3" dropStyle="combo" dx="16" fmlaLink="Calc!$I$2" fmlaRange="Calc!$G$4:$I$6" sel="1" val="0"/>
</file>

<file path=xl/ctrlProps/ctrlProp7.xml><?xml version="1.0" encoding="utf-8"?>
<formControlPr xmlns="http://schemas.microsoft.com/office/spreadsheetml/2009/9/main" objectType="Drop" dropStyle="combo" dx="16" fmlaLink="CAL!$U$2" fmlaRange="CAL!$B$4:$B$38" sel="18" val="13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10" Type="http://schemas.openxmlformats.org/officeDocument/2006/relationships/image" Target="../media/image21.emf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w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277719</xdr:colOff>
      <xdr:row>18</xdr:row>
      <xdr:rowOff>60698</xdr:rowOff>
    </xdr:from>
    <xdr:to>
      <xdr:col>8</xdr:col>
      <xdr:colOff>372969</xdr:colOff>
      <xdr:row>22</xdr:row>
      <xdr:rowOff>187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246469" y="3913031"/>
          <a:ext cx="719667" cy="807323"/>
          <a:chOff x="5086350" y="1885950"/>
          <a:chExt cx="704850" cy="723900"/>
        </a:xfrm>
        <a:solidFill>
          <a:schemeClr val="bg1">
            <a:lumMod val="50000"/>
          </a:schemeClr>
        </a:solidFill>
      </xdr:grpSpPr>
      <xdr:sp macro="" textlink="">
        <xdr:nvSpPr>
          <xdr:cNvPr id="19" name="Elips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5314950" y="213360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20" name="Elips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5314950" y="188595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21" name="Elips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5543550" y="2009775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22" name="Elips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5534025" y="226695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23" name="Elips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086350" y="226695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24" name="Elips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5086350" y="201930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25" name="Elips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5314950" y="238125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2</xdr:col>
      <xdr:colOff>180789</xdr:colOff>
      <xdr:row>15</xdr:row>
      <xdr:rowOff>129987</xdr:rowOff>
    </xdr:from>
    <xdr:to>
      <xdr:col>3</xdr:col>
      <xdr:colOff>276039</xdr:colOff>
      <xdr:row>19</xdr:row>
      <xdr:rowOff>91888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360706" y="3315570"/>
          <a:ext cx="709083" cy="829735"/>
          <a:chOff x="5086350" y="1885950"/>
          <a:chExt cx="704850" cy="723900"/>
        </a:xfrm>
        <a:solidFill>
          <a:schemeClr val="bg1">
            <a:lumMod val="50000"/>
          </a:schemeClr>
        </a:solidFill>
      </xdr:grpSpPr>
      <xdr:sp macro="" textlink="">
        <xdr:nvSpPr>
          <xdr:cNvPr id="27" name="Elips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5314950" y="213360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28" name="Elips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314950" y="188595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29" name="Elips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5543550" y="2009775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30" name="Elips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5534025" y="226695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31" name="Elips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5086350" y="226695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32" name="Elips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5086350" y="201930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33" name="Elipse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5314950" y="238125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5</xdr:col>
      <xdr:colOff>415739</xdr:colOff>
      <xdr:row>11</xdr:row>
      <xdr:rowOff>102161</xdr:rowOff>
    </xdr:from>
    <xdr:to>
      <xdr:col>6</xdr:col>
      <xdr:colOff>320489</xdr:colOff>
      <xdr:row>15</xdr:row>
      <xdr:rowOff>56591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2902822" y="2430494"/>
          <a:ext cx="719667" cy="811680"/>
          <a:chOff x="5086350" y="1885950"/>
          <a:chExt cx="704850" cy="723900"/>
        </a:xfrm>
        <a:solidFill>
          <a:schemeClr val="bg1">
            <a:lumMod val="50000"/>
          </a:schemeClr>
        </a:solidFill>
      </xdr:grpSpPr>
      <xdr:sp macro="" textlink="">
        <xdr:nvSpPr>
          <xdr:cNvPr id="35" name="Elips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5314950" y="213360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36" name="Elips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5314950" y="188595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37" name="Elips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5543550" y="2009775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38" name="Elips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5534025" y="226695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39" name="Elips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5086350" y="226695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40" name="Elips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5086350" y="201930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41" name="Elips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314950" y="2381250"/>
            <a:ext cx="247650" cy="228600"/>
          </a:xfrm>
          <a:prstGeom prst="ellipse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3</xdr:col>
      <xdr:colOff>276039</xdr:colOff>
      <xdr:row>14</xdr:row>
      <xdr:rowOff>116466</xdr:rowOff>
    </xdr:from>
    <xdr:to>
      <xdr:col>5</xdr:col>
      <xdr:colOff>453506</xdr:colOff>
      <xdr:row>16</xdr:row>
      <xdr:rowOff>173780</xdr:rowOff>
    </xdr:to>
    <xdr:cxnSp macro="">
      <xdr:nvCxnSpPr>
        <xdr:cNvPr id="43" name="Conector de seta reta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>
          <a:stCxn id="29" idx="6"/>
          <a:endCxn id="39" idx="3"/>
        </xdr:cNvCxnSpPr>
      </xdr:nvCxnSpPr>
      <xdr:spPr>
        <a:xfrm flipV="1">
          <a:off x="1000686" y="2492113"/>
          <a:ext cx="1910644" cy="468196"/>
        </a:xfrm>
        <a:prstGeom prst="straightConnector1">
          <a:avLst/>
        </a:prstGeom>
        <a:ln w="25400"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266474</xdr:colOff>
      <xdr:row>18</xdr:row>
      <xdr:rowOff>50446</xdr:rowOff>
    </xdr:from>
    <xdr:to>
      <xdr:col>7</xdr:col>
      <xdr:colOff>316062</xdr:colOff>
      <xdr:row>20</xdr:row>
      <xdr:rowOff>83512</xdr:rowOff>
    </xdr:to>
    <xdr:cxnSp macro="">
      <xdr:nvCxnSpPr>
        <xdr:cNvPr id="45" name="Conector de seta reta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>
          <a:stCxn id="30" idx="6"/>
          <a:endCxn id="23" idx="1"/>
        </xdr:cNvCxnSpPr>
      </xdr:nvCxnSpPr>
      <xdr:spPr>
        <a:xfrm>
          <a:off x="991121" y="3225446"/>
          <a:ext cx="3254470" cy="429007"/>
        </a:xfrm>
        <a:prstGeom prst="straightConnector1">
          <a:avLst/>
        </a:prstGeom>
        <a:ln w="25400"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272804</xdr:colOff>
      <xdr:row>14</xdr:row>
      <xdr:rowOff>119514</xdr:rowOff>
    </xdr:from>
    <xdr:to>
      <xdr:col>7</xdr:col>
      <xdr:colOff>316062</xdr:colOff>
      <xdr:row>19</xdr:row>
      <xdr:rowOff>23515</xdr:rowOff>
    </xdr:to>
    <xdr:cxnSp macro="">
      <xdr:nvCxnSpPr>
        <xdr:cNvPr id="48" name="Conector de seta reta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>
          <a:stCxn id="38" idx="5"/>
          <a:endCxn id="24" idx="1"/>
        </xdr:cNvCxnSpPr>
      </xdr:nvCxnSpPr>
      <xdr:spPr>
        <a:xfrm>
          <a:off x="3559863" y="2480220"/>
          <a:ext cx="685728" cy="897589"/>
        </a:xfrm>
        <a:prstGeom prst="straightConnector1">
          <a:avLst/>
        </a:prstGeom>
        <a:ln w="25400"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174625</xdr:colOff>
      <xdr:row>10</xdr:row>
      <xdr:rowOff>1589</xdr:rowOff>
    </xdr:from>
    <xdr:to>
      <xdr:col>18</xdr:col>
      <xdr:colOff>420687</xdr:colOff>
      <xdr:row>18</xdr:row>
      <xdr:rowOff>150812</xdr:rowOff>
    </xdr:to>
    <xdr:grpSp>
      <xdr:nvGrpSpPr>
        <xdr:cNvPr id="152" name="Grupo 15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GrpSpPr/>
      </xdr:nvGrpSpPr>
      <xdr:grpSpPr>
        <a:xfrm>
          <a:off x="5487458" y="2118256"/>
          <a:ext cx="5389562" cy="1884889"/>
          <a:chOff x="5486400" y="2219325"/>
          <a:chExt cx="4619624" cy="1781175"/>
        </a:xfrm>
      </xdr:grpSpPr>
      <xdr:grpSp>
        <xdr:nvGrpSpPr>
          <xdr:cNvPr id="140" name="Grupo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GrpSpPr/>
        </xdr:nvGrpSpPr>
        <xdr:grpSpPr>
          <a:xfrm>
            <a:off x="5486400" y="2219325"/>
            <a:ext cx="4619624" cy="964406"/>
            <a:chOff x="6524625" y="2162175"/>
            <a:chExt cx="4686299" cy="964406"/>
          </a:xfrm>
        </xdr:grpSpPr>
        <xdr:cxnSp macro="">
          <xdr:nvCxnSpPr>
            <xdr:cNvPr id="92" name="Conector angulado 53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CxnSpPr/>
          </xdr:nvCxnSpPr>
          <xdr:spPr>
            <a:xfrm flipV="1">
              <a:off x="7743825" y="2924175"/>
              <a:ext cx="2276475" cy="1"/>
            </a:xfrm>
            <a:prstGeom prst="bentConnector3">
              <a:avLst>
                <a:gd name="adj1" fmla="val 50000"/>
              </a:avLst>
            </a:prstGeom>
            <a:ln w="63500"/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  <xdr:sp macro="" textlink="">
          <xdr:nvSpPr>
            <xdr:cNvPr id="96" name="CaixaDeTexto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SpPr txBox="1"/>
          </xdr:nvSpPr>
          <xdr:spPr>
            <a:xfrm>
              <a:off x="8496300" y="2590800"/>
              <a:ext cx="533400" cy="3333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 anchorCtr="0"/>
            <a:lstStyle/>
            <a:p>
              <a:pPr algn="ctr"/>
              <a:r>
                <a:rPr lang="pt-BR" sz="1400" b="1">
                  <a:sym typeface="Symbol"/>
                </a:rPr>
                <a:t>; Z</a:t>
              </a:r>
              <a:r>
                <a:rPr lang="pt-BR" sz="1400" b="1" baseline="-25000">
                  <a:sym typeface="Symbol"/>
                </a:rPr>
                <a:t>o</a:t>
              </a:r>
              <a:endParaRPr lang="pt-BR" sz="1400" b="1" baseline="-25000"/>
            </a:p>
          </xdr:txBody>
        </xdr:sp>
        <xdr:grpSp>
          <xdr:nvGrpSpPr>
            <xdr:cNvPr id="136" name="Grupo 135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GrpSpPr/>
          </xdr:nvGrpSpPr>
          <xdr:grpSpPr>
            <a:xfrm>
              <a:off x="6524625" y="2162175"/>
              <a:ext cx="4686299" cy="964406"/>
              <a:chOff x="6524625" y="2162175"/>
              <a:chExt cx="4686299" cy="964406"/>
            </a:xfrm>
          </xdr:grpSpPr>
          <xdr:sp macro="" textlink="">
            <xdr:nvSpPr>
              <xdr:cNvPr id="52" name="Elipse 51">
                <a:extLst>
                  <a:ext uri="{FF2B5EF4-FFF2-40B4-BE49-F238E27FC236}">
                    <a16:creationId xmlns:a16="http://schemas.microsoft.com/office/drawing/2014/main" id="{00000000-0008-0000-0000-000034000000}"/>
                  </a:ext>
                </a:extLst>
              </xdr:cNvPr>
              <xdr:cNvSpPr/>
            </xdr:nvSpPr>
            <xdr:spPr>
              <a:xfrm>
                <a:off x="6524625" y="2647950"/>
                <a:ext cx="371475" cy="352425"/>
              </a:xfrm>
              <a:prstGeom prst="ellipse">
                <a:avLst/>
              </a:prstGeom>
              <a:solidFill>
                <a:schemeClr val="bg2"/>
              </a:solidFill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pt-BR" sz="1100" b="1"/>
                  <a:t>G</a:t>
                </a:r>
              </a:p>
            </xdr:txBody>
          </xdr:sp>
          <xdr:cxnSp macro="">
            <xdr:nvCxnSpPr>
              <xdr:cNvPr id="54" name="Conector angulado 53">
                <a:extLst>
                  <a:ext uri="{FF2B5EF4-FFF2-40B4-BE49-F238E27FC236}">
                    <a16:creationId xmlns:a16="http://schemas.microsoft.com/office/drawing/2014/main" id="{00000000-0008-0000-0000-000036000000}"/>
                  </a:ext>
                </a:extLst>
              </xdr:cNvPr>
              <xdr:cNvCxnSpPr>
                <a:stCxn id="52" idx="4"/>
              </xdr:cNvCxnSpPr>
            </xdr:nvCxnSpPr>
            <xdr:spPr>
              <a:xfrm rot="5400000" flipH="1" flipV="1">
                <a:off x="7193756" y="2440781"/>
                <a:ext cx="76200" cy="1042987"/>
              </a:xfrm>
              <a:prstGeom prst="bentConnector4">
                <a:avLst>
                  <a:gd name="adj1" fmla="val -362503"/>
                  <a:gd name="adj2" fmla="val 100000"/>
                </a:avLst>
              </a:prstGeom>
              <a:ln/>
            </xdr:spPr>
            <xdr:style>
              <a:lnRef idx="2">
                <a:schemeClr val="dk1"/>
              </a:lnRef>
              <a:fillRef idx="0">
                <a:schemeClr val="dk1"/>
              </a:fillRef>
              <a:effectRef idx="1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59" name="Conector angulado 58">
                <a:extLst>
                  <a:ext uri="{FF2B5EF4-FFF2-40B4-BE49-F238E27FC236}">
                    <a16:creationId xmlns:a16="http://schemas.microsoft.com/office/drawing/2014/main" id="{00000000-0008-0000-0000-00003B000000}"/>
                  </a:ext>
                </a:extLst>
              </xdr:cNvPr>
              <xdr:cNvCxnSpPr>
                <a:stCxn id="52" idx="0"/>
                <a:endCxn id="67" idx="1"/>
              </xdr:cNvCxnSpPr>
            </xdr:nvCxnSpPr>
            <xdr:spPr>
              <a:xfrm rot="5400000" flipH="1" flipV="1">
                <a:off x="6700838" y="2290763"/>
                <a:ext cx="366712" cy="347662"/>
              </a:xfrm>
              <a:prstGeom prst="bentConnector2">
                <a:avLst/>
              </a:prstGeom>
            </xdr:spPr>
            <xdr:style>
              <a:lnRef idx="2">
                <a:schemeClr val="dk1"/>
              </a:lnRef>
              <a:fillRef idx="0">
                <a:schemeClr val="dk1"/>
              </a:fillRef>
              <a:effectRef idx="1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67" name="Retângulo 66">
                <a:extLst>
                  <a:ext uri="{FF2B5EF4-FFF2-40B4-BE49-F238E27FC236}">
                    <a16:creationId xmlns:a16="http://schemas.microsoft.com/office/drawing/2014/main" id="{00000000-0008-0000-0000-000043000000}"/>
                  </a:ext>
                </a:extLst>
              </xdr:cNvPr>
              <xdr:cNvSpPr/>
            </xdr:nvSpPr>
            <xdr:spPr>
              <a:xfrm>
                <a:off x="7058025" y="2162175"/>
                <a:ext cx="390525" cy="238125"/>
              </a:xfrm>
              <a:prstGeom prst="rect">
                <a:avLst/>
              </a:prstGeom>
              <a:solidFill>
                <a:schemeClr val="bg2"/>
              </a:solidFill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pt-BR" sz="1100" b="1"/>
                  <a:t>Z</a:t>
                </a:r>
                <a:r>
                  <a:rPr lang="pt-BR" sz="1100" b="1" baseline="-25000"/>
                  <a:t>G</a:t>
                </a:r>
              </a:p>
            </xdr:txBody>
          </xdr:sp>
          <xdr:cxnSp macro="">
            <xdr:nvCxnSpPr>
              <xdr:cNvPr id="72" name="Conector angulado 58">
                <a:extLst>
                  <a:ext uri="{FF2B5EF4-FFF2-40B4-BE49-F238E27FC236}">
                    <a16:creationId xmlns:a16="http://schemas.microsoft.com/office/drawing/2014/main" id="{00000000-0008-0000-0000-000048000000}"/>
                  </a:ext>
                </a:extLst>
              </xdr:cNvPr>
              <xdr:cNvCxnSpPr>
                <a:stCxn id="67" idx="3"/>
              </xdr:cNvCxnSpPr>
            </xdr:nvCxnSpPr>
            <xdr:spPr>
              <a:xfrm>
                <a:off x="7448550" y="2281238"/>
                <a:ext cx="295275" cy="357187"/>
              </a:xfrm>
              <a:prstGeom prst="bentConnector2">
                <a:avLst/>
              </a:prstGeom>
            </xdr:spPr>
            <xdr:style>
              <a:lnRef idx="2">
                <a:schemeClr val="dk1"/>
              </a:lnRef>
              <a:fillRef idx="0">
                <a:schemeClr val="dk1"/>
              </a:fillRef>
              <a:effectRef idx="1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89" name="Conector angulado 53">
                <a:extLst>
                  <a:ext uri="{FF2B5EF4-FFF2-40B4-BE49-F238E27FC236}">
                    <a16:creationId xmlns:a16="http://schemas.microsoft.com/office/drawing/2014/main" id="{00000000-0008-0000-0000-000059000000}"/>
                  </a:ext>
                </a:extLst>
              </xdr:cNvPr>
              <xdr:cNvCxnSpPr/>
            </xdr:nvCxnSpPr>
            <xdr:spPr>
              <a:xfrm flipV="1">
                <a:off x="7734300" y="2638425"/>
                <a:ext cx="2276475" cy="1"/>
              </a:xfrm>
              <a:prstGeom prst="bentConnector3">
                <a:avLst>
                  <a:gd name="adj1" fmla="val 50000"/>
                </a:avLst>
              </a:prstGeom>
              <a:ln w="63500"/>
            </xdr:spPr>
            <xdr:style>
              <a:lnRef idx="3">
                <a:schemeClr val="dk1"/>
              </a:lnRef>
              <a:fillRef idx="0">
                <a:schemeClr val="dk1"/>
              </a:fillRef>
              <a:effectRef idx="2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00" name="Retângulo 99">
                <a:extLst>
                  <a:ext uri="{FF2B5EF4-FFF2-40B4-BE49-F238E27FC236}">
                    <a16:creationId xmlns:a16="http://schemas.microsoft.com/office/drawing/2014/main" id="{00000000-0008-0000-0000-000064000000}"/>
                  </a:ext>
                </a:extLst>
              </xdr:cNvPr>
              <xdr:cNvSpPr/>
            </xdr:nvSpPr>
            <xdr:spPr>
              <a:xfrm>
                <a:off x="10894219" y="2524125"/>
                <a:ext cx="316705" cy="602456"/>
              </a:xfrm>
              <a:prstGeom prst="rect">
                <a:avLst/>
              </a:prstGeom>
              <a:solidFill>
                <a:schemeClr val="bg2"/>
              </a:solidFill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pt-BR" sz="1100" b="1"/>
                  <a:t>Z</a:t>
                </a:r>
                <a:r>
                  <a:rPr lang="pt-BR" sz="1100" b="1" baseline="-25000"/>
                  <a:t>C</a:t>
                </a:r>
              </a:p>
            </xdr:txBody>
          </xdr:sp>
          <xdr:cxnSp macro="">
            <xdr:nvCxnSpPr>
              <xdr:cNvPr id="123" name="Conector angulado 53">
                <a:extLst>
                  <a:ext uri="{FF2B5EF4-FFF2-40B4-BE49-F238E27FC236}">
                    <a16:creationId xmlns:a16="http://schemas.microsoft.com/office/drawing/2014/main" id="{00000000-0008-0000-0000-00007B000000}"/>
                  </a:ext>
                </a:extLst>
              </xdr:cNvPr>
              <xdr:cNvCxnSpPr>
                <a:endCxn id="100" idx="0"/>
              </xdr:cNvCxnSpPr>
            </xdr:nvCxnSpPr>
            <xdr:spPr>
              <a:xfrm flipV="1">
                <a:off x="9963150" y="2524125"/>
                <a:ext cx="1089422" cy="114300"/>
              </a:xfrm>
              <a:prstGeom prst="bentConnector4">
                <a:avLst>
                  <a:gd name="adj1" fmla="val 42732"/>
                  <a:gd name="adj2" fmla="val 300000"/>
                </a:avLst>
              </a:prstGeom>
              <a:ln/>
            </xdr:spPr>
            <xdr:style>
              <a:lnRef idx="2">
                <a:schemeClr val="dk1"/>
              </a:lnRef>
              <a:fillRef idx="0">
                <a:schemeClr val="dk1"/>
              </a:fillRef>
              <a:effectRef idx="1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34" name="Conector angulado 53">
                <a:extLst>
                  <a:ext uri="{FF2B5EF4-FFF2-40B4-BE49-F238E27FC236}">
                    <a16:creationId xmlns:a16="http://schemas.microsoft.com/office/drawing/2014/main" id="{00000000-0008-0000-0000-000086000000}"/>
                  </a:ext>
                </a:extLst>
              </xdr:cNvPr>
              <xdr:cNvCxnSpPr>
                <a:endCxn id="100" idx="2"/>
              </xdr:cNvCxnSpPr>
            </xdr:nvCxnSpPr>
            <xdr:spPr>
              <a:xfrm>
                <a:off x="10010775" y="2924175"/>
                <a:ext cx="1041797" cy="202406"/>
              </a:xfrm>
              <a:prstGeom prst="bentConnector4">
                <a:avLst>
                  <a:gd name="adj1" fmla="val 42400"/>
                  <a:gd name="adj2" fmla="val 212941"/>
                </a:avLst>
              </a:prstGeom>
              <a:ln/>
            </xdr:spPr>
            <xdr:style>
              <a:lnRef idx="2">
                <a:schemeClr val="dk1"/>
              </a:lnRef>
              <a:fillRef idx="0">
                <a:schemeClr val="dk1"/>
              </a:fillRef>
              <a:effectRef idx="1">
                <a:schemeClr val="dk1"/>
              </a:effectRef>
              <a:fontRef idx="minor">
                <a:schemeClr val="tx1"/>
              </a:fontRef>
            </xdr:style>
          </xdr:cxnSp>
        </xdr:grpSp>
      </xdr:grpSp>
      <xdr:cxnSp macro="">
        <xdr:nvCxnSpPr>
          <xdr:cNvPr id="144" name="Conector reto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 flipH="1">
            <a:off x="6696075" y="3429000"/>
            <a:ext cx="9525" cy="571500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5" name="Conector reto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915400" y="3124200"/>
            <a:ext cx="1" cy="876300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7" name="Conector de seta reta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6686550" y="3686175"/>
            <a:ext cx="2219325" cy="0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49" name="CaixaDeTexto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6334125" y="3724275"/>
            <a:ext cx="45720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i="1">
                <a:latin typeface="Times New Roman" pitchFamily="18" charset="0"/>
                <a:cs typeface="Times New Roman" pitchFamily="18" charset="0"/>
              </a:rPr>
              <a:t>z</a:t>
            </a:r>
            <a:r>
              <a:rPr lang="pt-BR" sz="1100">
                <a:latin typeface="Times New Roman" pitchFamily="18" charset="0"/>
                <a:cs typeface="Times New Roman" pitchFamily="18" charset="0"/>
              </a:rPr>
              <a:t>=0</a:t>
            </a:r>
          </a:p>
        </xdr:txBody>
      </xdr:sp>
      <xdr:sp macro="" textlink="">
        <xdr:nvSpPr>
          <xdr:cNvPr id="150" name="CaixaDeTexto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SpPr txBox="1"/>
        </xdr:nvSpPr>
        <xdr:spPr>
          <a:xfrm>
            <a:off x="8553450" y="3714750"/>
            <a:ext cx="45720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i="1">
                <a:latin typeface="Times New Roman" pitchFamily="18" charset="0"/>
                <a:cs typeface="Times New Roman" pitchFamily="18" charset="0"/>
              </a:rPr>
              <a:t>z</a:t>
            </a:r>
            <a:r>
              <a:rPr lang="pt-BR" sz="1100">
                <a:latin typeface="Times New Roman" pitchFamily="18" charset="0"/>
                <a:cs typeface="Times New Roman" pitchFamily="18" charset="0"/>
              </a:rPr>
              <a:t>=</a:t>
            </a:r>
            <a:r>
              <a:rPr lang="pt-BR" sz="1100" i="1">
                <a:latin typeface="Times New Roman" pitchFamily="18" charset="0"/>
                <a:cs typeface="Times New Roman" pitchFamily="18" charset="0"/>
              </a:rPr>
              <a:t>l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</xdr:row>
          <xdr:rowOff>47625</xdr:rowOff>
        </xdr:from>
        <xdr:to>
          <xdr:col>2</xdr:col>
          <xdr:colOff>600075</xdr:colOff>
          <xdr:row>6</xdr:row>
          <xdr:rowOff>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19050</xdr:rowOff>
        </xdr:from>
        <xdr:to>
          <xdr:col>3</xdr:col>
          <xdr:colOff>857250</xdr:colOff>
          <xdr:row>6</xdr:row>
          <xdr:rowOff>0</xdr:rowOff>
        </xdr:to>
        <xdr:sp macro="" textlink="">
          <xdr:nvSpPr>
            <xdr:cNvPr id="3086" name="Drop Dow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0</xdr:rowOff>
        </xdr:from>
        <xdr:to>
          <xdr:col>2</xdr:col>
          <xdr:colOff>590550</xdr:colOff>
          <xdr:row>6</xdr:row>
          <xdr:rowOff>219075</xdr:rowOff>
        </xdr:to>
        <xdr:sp macro="" textlink="">
          <xdr:nvSpPr>
            <xdr:cNvPr id="3087" name="Option 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857250</xdr:colOff>
          <xdr:row>7</xdr:row>
          <xdr:rowOff>0</xdr:rowOff>
        </xdr:to>
        <xdr:sp macro="" textlink="">
          <xdr:nvSpPr>
            <xdr:cNvPr id="3089" name="Drop Dow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7</xdr:row>
          <xdr:rowOff>19050</xdr:rowOff>
        </xdr:from>
        <xdr:to>
          <xdr:col>18</xdr:col>
          <xdr:colOff>400050</xdr:colOff>
          <xdr:row>7</xdr:row>
          <xdr:rowOff>209550</xdr:rowOff>
        </xdr:to>
        <xdr:sp macro="" textlink="">
          <xdr:nvSpPr>
            <xdr:cNvPr id="3094" name="Drop Dow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200025</xdr:rowOff>
        </xdr:from>
        <xdr:to>
          <xdr:col>3</xdr:col>
          <xdr:colOff>866775</xdr:colOff>
          <xdr:row>22</xdr:row>
          <xdr:rowOff>180975</xdr:rowOff>
        </xdr:to>
        <xdr:sp macro="" textlink="">
          <xdr:nvSpPr>
            <xdr:cNvPr id="3095" name="Drop Down 1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0</xdr:rowOff>
        </xdr:from>
        <xdr:to>
          <xdr:col>3</xdr:col>
          <xdr:colOff>866775</xdr:colOff>
          <xdr:row>8</xdr:row>
          <xdr:rowOff>0</xdr:rowOff>
        </xdr:to>
        <xdr:sp macro="" textlink="">
          <xdr:nvSpPr>
            <xdr:cNvPr id="3097" name="Drop Down 17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19050</xdr:rowOff>
        </xdr:from>
        <xdr:to>
          <xdr:col>2</xdr:col>
          <xdr:colOff>590550</xdr:colOff>
          <xdr:row>7</xdr:row>
          <xdr:rowOff>247650</xdr:rowOff>
        </xdr:to>
        <xdr:sp macro="" textlink="">
          <xdr:nvSpPr>
            <xdr:cNvPr id="3098" name="Option Button 15" descr="CAL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19050</xdr:rowOff>
        </xdr:from>
        <xdr:to>
          <xdr:col>2</xdr:col>
          <xdr:colOff>581025</xdr:colOff>
          <xdr:row>8</xdr:row>
          <xdr:rowOff>0</xdr:rowOff>
        </xdr:to>
        <xdr:sp macro="" textlink="">
          <xdr:nvSpPr>
            <xdr:cNvPr id="3099" name="Group Box 16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99060</xdr:colOff>
      <xdr:row>3</xdr:row>
      <xdr:rowOff>160020</xdr:rowOff>
    </xdr:from>
    <xdr:to>
      <xdr:col>10</xdr:col>
      <xdr:colOff>161577</xdr:colOff>
      <xdr:row>19</xdr:row>
      <xdr:rowOff>106680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" y="716280"/>
          <a:ext cx="5815617" cy="2918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0</xdr:row>
      <xdr:rowOff>60960</xdr:rowOff>
    </xdr:from>
    <xdr:to>
      <xdr:col>2</xdr:col>
      <xdr:colOff>563880</xdr:colOff>
      <xdr:row>0</xdr:row>
      <xdr:rowOff>327660</xdr:rowOff>
    </xdr:to>
    <xdr:sp macro="[0]!Copia_ex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23900" y="60960"/>
          <a:ext cx="1059180" cy="2667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Copia Exemplo</a:t>
          </a:r>
        </a:p>
      </xdr:txBody>
    </xdr:sp>
    <xdr:clientData/>
  </xdr:twoCellAnchor>
  <xdr:twoCellAnchor>
    <xdr:from>
      <xdr:col>3</xdr:col>
      <xdr:colOff>198120</xdr:colOff>
      <xdr:row>0</xdr:row>
      <xdr:rowOff>68580</xdr:rowOff>
    </xdr:from>
    <xdr:to>
      <xdr:col>4</xdr:col>
      <xdr:colOff>632460</xdr:colOff>
      <xdr:row>0</xdr:row>
      <xdr:rowOff>335280</xdr:rowOff>
    </xdr:to>
    <xdr:sp macro="[0]!Cola_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09800" y="68580"/>
          <a:ext cx="1059180" cy="266700"/>
        </a:xfrm>
        <a:prstGeom prst="roundRect">
          <a:avLst/>
        </a:prstGeom>
        <a:gradFill>
          <a:gsLst>
            <a:gs pos="0">
              <a:schemeClr val="accent3">
                <a:lumMod val="50000"/>
              </a:schemeClr>
            </a:gs>
            <a:gs pos="80000">
              <a:schemeClr val="accent3">
                <a:shade val="93000"/>
                <a:satMod val="130000"/>
              </a:schemeClr>
            </a:gs>
            <a:gs pos="100000">
              <a:schemeClr val="accent3">
                <a:lumMod val="75000"/>
              </a:schemeClr>
            </a:gs>
          </a:gsLst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 Exemplo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428625</xdr:colOff>
          <xdr:row>17</xdr:row>
          <xdr:rowOff>19050</xdr:rowOff>
        </xdr:from>
        <xdr:to>
          <xdr:col>17</xdr:col>
          <xdr:colOff>438150</xdr:colOff>
          <xdr:row>19</xdr:row>
          <xdr:rowOff>161925</xdr:rowOff>
        </xdr:to>
        <xdr:sp macro="" textlink="">
          <xdr:nvSpPr>
            <xdr:cNvPr id="5125" name="Object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523875</xdr:colOff>
          <xdr:row>19</xdr:row>
          <xdr:rowOff>180975</xdr:rowOff>
        </xdr:from>
        <xdr:to>
          <xdr:col>25</xdr:col>
          <xdr:colOff>361950</xdr:colOff>
          <xdr:row>24</xdr:row>
          <xdr:rowOff>123825</xdr:rowOff>
        </xdr:to>
        <xdr:sp macro="" textlink="">
          <xdr:nvSpPr>
            <xdr:cNvPr id="5126" name="Object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457200</xdr:colOff>
          <xdr:row>20</xdr:row>
          <xdr:rowOff>161925</xdr:rowOff>
        </xdr:from>
        <xdr:to>
          <xdr:col>17</xdr:col>
          <xdr:colOff>552450</xdr:colOff>
          <xdr:row>24</xdr:row>
          <xdr:rowOff>171450</xdr:rowOff>
        </xdr:to>
        <xdr:sp macro="" textlink="">
          <xdr:nvSpPr>
            <xdr:cNvPr id="5127" name="Object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15</xdr:row>
          <xdr:rowOff>171450</xdr:rowOff>
        </xdr:from>
        <xdr:to>
          <xdr:col>14</xdr:col>
          <xdr:colOff>133350</xdr:colOff>
          <xdr:row>17</xdr:row>
          <xdr:rowOff>47625</xdr:rowOff>
        </xdr:to>
        <xdr:sp macro="" textlink="">
          <xdr:nvSpPr>
            <xdr:cNvPr id="5128" name="Object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514350</xdr:colOff>
          <xdr:row>15</xdr:row>
          <xdr:rowOff>171450</xdr:rowOff>
        </xdr:from>
        <xdr:to>
          <xdr:col>22</xdr:col>
          <xdr:colOff>209550</xdr:colOff>
          <xdr:row>18</xdr:row>
          <xdr:rowOff>180975</xdr:rowOff>
        </xdr:to>
        <xdr:sp macro="" textlink="">
          <xdr:nvSpPr>
            <xdr:cNvPr id="5129" name="Object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266700</xdr:colOff>
          <xdr:row>12</xdr:row>
          <xdr:rowOff>47625</xdr:rowOff>
        </xdr:from>
        <xdr:to>
          <xdr:col>17</xdr:col>
          <xdr:colOff>114300</xdr:colOff>
          <xdr:row>16</xdr:row>
          <xdr:rowOff>180975</xdr:rowOff>
        </xdr:to>
        <xdr:sp macro="" textlink="">
          <xdr:nvSpPr>
            <xdr:cNvPr id="5131" name="Object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200025</xdr:colOff>
          <xdr:row>7</xdr:row>
          <xdr:rowOff>152400</xdr:rowOff>
        </xdr:from>
        <xdr:to>
          <xdr:col>26</xdr:col>
          <xdr:colOff>266700</xdr:colOff>
          <xdr:row>13</xdr:row>
          <xdr:rowOff>171450</xdr:rowOff>
        </xdr:to>
        <xdr:sp macro="" textlink="">
          <xdr:nvSpPr>
            <xdr:cNvPr id="5132" name="Object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742950</xdr:colOff>
          <xdr:row>20</xdr:row>
          <xdr:rowOff>76200</xdr:rowOff>
        </xdr:from>
        <xdr:to>
          <xdr:col>11</xdr:col>
          <xdr:colOff>361950</xdr:colOff>
          <xdr:row>22</xdr:row>
          <xdr:rowOff>180975</xdr:rowOff>
        </xdr:to>
        <xdr:sp macro="" textlink="">
          <xdr:nvSpPr>
            <xdr:cNvPr id="5133" name="Object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582930</xdr:colOff>
      <xdr:row>64</xdr:row>
      <xdr:rowOff>144780</xdr:rowOff>
    </xdr:from>
    <xdr:to>
      <xdr:col>5</xdr:col>
      <xdr:colOff>574040</xdr:colOff>
      <xdr:row>81</xdr:row>
      <xdr:rowOff>66040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0" y="12001500"/>
          <a:ext cx="2498090" cy="3030220"/>
        </a:xfrm>
        <a:prstGeom prst="rect">
          <a:avLst/>
        </a:prstGeom>
      </xdr:spPr>
    </xdr:pic>
    <xdr:clientData/>
  </xdr:twoCellAnchor>
  <xdr:twoCellAnchor editAs="oneCell">
    <xdr:from>
      <xdr:col>8</xdr:col>
      <xdr:colOff>426720</xdr:colOff>
      <xdr:row>1</xdr:row>
      <xdr:rowOff>38100</xdr:rowOff>
    </xdr:from>
    <xdr:to>
      <xdr:col>14</xdr:col>
      <xdr:colOff>523921</xdr:colOff>
      <xdr:row>22</xdr:row>
      <xdr:rowOff>676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6320" y="220980"/>
          <a:ext cx="3754801" cy="3810676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1</xdr:row>
      <xdr:rowOff>72012</xdr:rowOff>
    </xdr:from>
    <xdr:to>
      <xdr:col>20</xdr:col>
      <xdr:colOff>99060</xdr:colOff>
      <xdr:row>22</xdr:row>
      <xdr:rowOff>69082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0" y="254892"/>
          <a:ext cx="2499360" cy="3845170"/>
        </a:xfrm>
        <a:prstGeom prst="rect">
          <a:avLst/>
        </a:prstGeom>
      </xdr:spPr>
    </xdr:pic>
    <xdr:clientData/>
  </xdr:twoCellAnchor>
  <xdr:twoCellAnchor editAs="oneCell">
    <xdr:from>
      <xdr:col>1</xdr:col>
      <xdr:colOff>220981</xdr:colOff>
      <xdr:row>24</xdr:row>
      <xdr:rowOff>121920</xdr:rowOff>
    </xdr:from>
    <xdr:to>
      <xdr:col>7</xdr:col>
      <xdr:colOff>255699</xdr:colOff>
      <xdr:row>37</xdr:row>
      <xdr:rowOff>109134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1" y="4518660"/>
          <a:ext cx="3760898" cy="2364654"/>
        </a:xfrm>
        <a:prstGeom prst="rect">
          <a:avLst/>
        </a:prstGeom>
      </xdr:spPr>
    </xdr:pic>
    <xdr:clientData/>
  </xdr:twoCellAnchor>
  <xdr:twoCellAnchor editAs="oneCell">
    <xdr:from>
      <xdr:col>8</xdr:col>
      <xdr:colOff>99060</xdr:colOff>
      <xdr:row>26</xdr:row>
      <xdr:rowOff>30480</xdr:rowOff>
    </xdr:from>
    <xdr:to>
      <xdr:col>14</xdr:col>
      <xdr:colOff>496252</xdr:colOff>
      <xdr:row>38</xdr:row>
      <xdr:rowOff>54991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18660" y="4792980"/>
          <a:ext cx="4054792" cy="2219071"/>
        </a:xfrm>
        <a:prstGeom prst="rect">
          <a:avLst/>
        </a:prstGeom>
      </xdr:spPr>
    </xdr:pic>
    <xdr:clientData/>
  </xdr:twoCellAnchor>
  <xdr:twoCellAnchor editAs="oneCell">
    <xdr:from>
      <xdr:col>15</xdr:col>
      <xdr:colOff>106680</xdr:colOff>
      <xdr:row>25</xdr:row>
      <xdr:rowOff>132713</xdr:rowOff>
    </xdr:from>
    <xdr:to>
      <xdr:col>21</xdr:col>
      <xdr:colOff>502920</xdr:colOff>
      <xdr:row>35</xdr:row>
      <xdr:rowOff>35240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3480" y="4712333"/>
          <a:ext cx="4053840" cy="1731327"/>
        </a:xfrm>
        <a:prstGeom prst="rect">
          <a:avLst/>
        </a:prstGeom>
      </xdr:spPr>
    </xdr:pic>
    <xdr:clientData/>
  </xdr:twoCellAnchor>
  <xdr:twoCellAnchor editAs="oneCell">
    <xdr:from>
      <xdr:col>2</xdr:col>
      <xdr:colOff>266701</xdr:colOff>
      <xdr:row>40</xdr:row>
      <xdr:rowOff>59874</xdr:rowOff>
    </xdr:from>
    <xdr:to>
      <xdr:col>5</xdr:col>
      <xdr:colOff>594360</xdr:colOff>
      <xdr:row>60</xdr:row>
      <xdr:rowOff>92033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1" y="7390314"/>
          <a:ext cx="2156459" cy="3689759"/>
        </a:xfrm>
        <a:prstGeom prst="rect">
          <a:avLst/>
        </a:prstGeom>
      </xdr:spPr>
    </xdr:pic>
    <xdr:clientData/>
  </xdr:twoCellAnchor>
  <xdr:twoCellAnchor editAs="oneCell">
    <xdr:from>
      <xdr:col>9</xdr:col>
      <xdr:colOff>335280</xdr:colOff>
      <xdr:row>40</xdr:row>
      <xdr:rowOff>53340</xdr:rowOff>
    </xdr:from>
    <xdr:to>
      <xdr:col>12</xdr:col>
      <xdr:colOff>312419</xdr:colOff>
      <xdr:row>60</xdr:row>
      <xdr:rowOff>161568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4480" y="7383780"/>
          <a:ext cx="1805939" cy="3765828"/>
        </a:xfrm>
        <a:prstGeom prst="rect">
          <a:avLst/>
        </a:prstGeom>
      </xdr:spPr>
    </xdr:pic>
    <xdr:clientData/>
  </xdr:twoCellAnchor>
  <xdr:twoCellAnchor editAs="oneCell">
    <xdr:from>
      <xdr:col>16</xdr:col>
      <xdr:colOff>594360</xdr:colOff>
      <xdr:row>41</xdr:row>
      <xdr:rowOff>55943</xdr:rowOff>
    </xdr:from>
    <xdr:to>
      <xdr:col>20</xdr:col>
      <xdr:colOff>7620</xdr:colOff>
      <xdr:row>60</xdr:row>
      <xdr:rowOff>102930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0760" y="7569263"/>
          <a:ext cx="1851660" cy="35217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64</xdr:row>
          <xdr:rowOff>171450</xdr:rowOff>
        </xdr:from>
        <xdr:to>
          <xdr:col>13</xdr:col>
          <xdr:colOff>381000</xdr:colOff>
          <xdr:row>78</xdr:row>
          <xdr:rowOff>57150</xdr:rowOff>
        </xdr:to>
        <xdr:sp macro="" textlink="">
          <xdr:nvSpPr>
            <xdr:cNvPr id="6146" name="Object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129541</xdr:colOff>
      <xdr:row>1</xdr:row>
      <xdr:rowOff>137160</xdr:rowOff>
    </xdr:from>
    <xdr:to>
      <xdr:col>7</xdr:col>
      <xdr:colOff>411042</xdr:colOff>
      <xdr:row>19</xdr:row>
      <xdr:rowOff>99060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1" y="320040"/>
          <a:ext cx="4007681" cy="3261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67</xdr:row>
          <xdr:rowOff>104775</xdr:rowOff>
        </xdr:from>
        <xdr:to>
          <xdr:col>21</xdr:col>
          <xdr:colOff>57150</xdr:colOff>
          <xdr:row>77</xdr:row>
          <xdr:rowOff>76200</xdr:rowOff>
        </xdr:to>
        <xdr:sp macro="" textlink="">
          <xdr:nvSpPr>
            <xdr:cNvPr id="6148" name="Object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7</xdr:row>
      <xdr:rowOff>83820</xdr:rowOff>
    </xdr:from>
    <xdr:to>
      <xdr:col>15</xdr:col>
      <xdr:colOff>228600</xdr:colOff>
      <xdr:row>22</xdr:row>
      <xdr:rowOff>83820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129539</xdr:colOff>
      <xdr:row>9</xdr:row>
      <xdr:rowOff>52725</xdr:rowOff>
    </xdr:from>
    <xdr:to>
      <xdr:col>8</xdr:col>
      <xdr:colOff>491996</xdr:colOff>
      <xdr:row>19</xdr:row>
      <xdr:rowOff>154264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3959" y="1698645"/>
          <a:ext cx="4561077" cy="19303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6.emf"/><Relationship Id="rId18" Type="http://schemas.openxmlformats.org/officeDocument/2006/relationships/oleObject" Target="../embeddings/oleObject8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8.emf"/><Relationship Id="rId2" Type="http://schemas.openxmlformats.org/officeDocument/2006/relationships/drawing" Target="../drawings/drawing4.xml"/><Relationship Id="rId16" Type="http://schemas.openxmlformats.org/officeDocument/2006/relationships/oleObject" Target="../embeddings/oleObject7.bin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wmf"/><Relationship Id="rId10" Type="http://schemas.openxmlformats.org/officeDocument/2006/relationships/oleObject" Target="../embeddings/oleObject4.bin"/><Relationship Id="rId19" Type="http://schemas.openxmlformats.org/officeDocument/2006/relationships/image" Target="../media/image9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4.emf"/><Relationship Id="rId14" Type="http://schemas.openxmlformats.org/officeDocument/2006/relationships/oleObject" Target="../embeddings/oleObject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Visio_Drawing.vsdx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image" Target="../media/image11.emf"/><Relationship Id="rId5" Type="http://schemas.openxmlformats.org/officeDocument/2006/relationships/package" Target="../embeddings/Microsoft_Visio_Drawing1.vsdx"/><Relationship Id="rId4" Type="http://schemas.openxmlformats.org/officeDocument/2006/relationships/image" Target="../media/image10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B1:W28"/>
  <sheetViews>
    <sheetView showGridLines="0" tabSelected="1" zoomScale="90" zoomScaleNormal="90" workbookViewId="0">
      <pane xSplit="30" ySplit="38" topLeftCell="AE39" activePane="bottomRight" state="frozen"/>
      <selection pane="topRight" activeCell="AE1" sqref="AE1"/>
      <selection pane="bottomLeft" activeCell="A39" sqref="A39"/>
      <selection pane="bottomRight" activeCell="M7" sqref="M7"/>
    </sheetView>
  </sheetViews>
  <sheetFormatPr defaultRowHeight="15"/>
  <cols>
    <col min="1" max="1" width="1" customWidth="1"/>
    <col min="2" max="2" width="1.7109375" customWidth="1"/>
    <col min="4" max="4" width="13.28515625" customWidth="1"/>
    <col min="5" max="5" width="12" customWidth="1"/>
    <col min="6" max="6" width="12.140625" bestFit="1" customWidth="1"/>
    <col min="7" max="7" width="10" bestFit="1" customWidth="1"/>
    <col min="8" max="8" width="9.42578125" bestFit="1" customWidth="1"/>
    <col min="9" max="9" width="9.28515625" bestFit="1" customWidth="1"/>
    <col min="10" max="10" width="1.42578125" customWidth="1"/>
    <col min="11" max="11" width="5.28515625" customWidth="1"/>
    <col min="12" max="12" width="12" customWidth="1"/>
    <col min="13" max="13" width="8.7109375" bestFit="1" customWidth="1"/>
    <col min="14" max="14" width="9.28515625" bestFit="1" customWidth="1"/>
    <col min="15" max="15" width="11.85546875" customWidth="1"/>
    <col min="16" max="16" width="11.28515625" customWidth="1"/>
    <col min="17" max="17" width="10.42578125" customWidth="1"/>
    <col min="18" max="18" width="8.140625" bestFit="1" customWidth="1"/>
    <col min="20" max="20" width="1.28515625" customWidth="1"/>
    <col min="21" max="21" width="14.7109375" customWidth="1"/>
    <col min="22" max="22" width="10.85546875" bestFit="1" customWidth="1"/>
    <col min="23" max="23" width="2.28515625" customWidth="1"/>
  </cols>
  <sheetData>
    <row r="1" spans="2:23" ht="7.15" customHeight="1" thickBot="1"/>
    <row r="2" spans="2:23" ht="9.75" customHeight="1" thickTop="1" thickBot="1">
      <c r="B2" s="169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1"/>
    </row>
    <row r="3" spans="2:23" ht="12.75" customHeight="1" thickTop="1" thickBot="1">
      <c r="B3" s="172"/>
      <c r="C3" s="332" t="s">
        <v>164</v>
      </c>
      <c r="D3" s="333"/>
      <c r="E3" s="333"/>
      <c r="F3" s="333"/>
      <c r="G3" s="333"/>
      <c r="H3" s="333"/>
      <c r="I3" s="334"/>
      <c r="K3" s="6"/>
      <c r="L3" s="7"/>
      <c r="M3" s="15"/>
      <c r="N3" s="7"/>
      <c r="O3" s="7"/>
      <c r="P3" s="7"/>
      <c r="Q3" s="7"/>
      <c r="R3" s="7"/>
      <c r="S3" s="8"/>
      <c r="U3" s="307" t="s">
        <v>252</v>
      </c>
      <c r="V3" s="308"/>
      <c r="W3" s="173"/>
    </row>
    <row r="4" spans="2:23" ht="17.25">
      <c r="B4" s="172"/>
      <c r="C4" s="318" t="s">
        <v>27</v>
      </c>
      <c r="D4" s="316" t="s">
        <v>327</v>
      </c>
      <c r="E4" s="305" t="s">
        <v>165</v>
      </c>
      <c r="F4" s="305"/>
      <c r="G4" s="160" t="s">
        <v>391</v>
      </c>
      <c r="H4" s="305" t="s">
        <v>442</v>
      </c>
      <c r="I4" s="337"/>
      <c r="K4" s="9"/>
      <c r="L4" s="320" t="s">
        <v>269</v>
      </c>
      <c r="M4" s="321"/>
      <c r="N4" s="161"/>
      <c r="O4" s="161"/>
      <c r="P4" s="161"/>
      <c r="Q4" s="174" t="s">
        <v>250</v>
      </c>
      <c r="R4" s="174" t="s">
        <v>251</v>
      </c>
      <c r="S4" s="10"/>
      <c r="U4" s="309">
        <f>L25*COS(M25*PI()/180)-Q25*COS(R25*PI()/180)</f>
        <v>8.6706490214199903</v>
      </c>
      <c r="V4" s="310"/>
      <c r="W4" s="173"/>
    </row>
    <row r="5" spans="2:23" ht="18.75" thickBot="1">
      <c r="B5" s="172"/>
      <c r="C5" s="319"/>
      <c r="D5" s="317"/>
      <c r="E5" s="168">
        <f>Calc!S6</f>
        <v>336</v>
      </c>
      <c r="F5" s="168" t="str">
        <f>Calc!T6</f>
        <v>Tulip</v>
      </c>
      <c r="G5" s="184">
        <f>L23/Calc!U6</f>
        <v>0.10016791234581694</v>
      </c>
      <c r="H5" s="338" t="s">
        <v>443</v>
      </c>
      <c r="I5" s="339"/>
      <c r="K5" s="9"/>
      <c r="L5" s="322" t="s">
        <v>438</v>
      </c>
      <c r="M5" s="323"/>
      <c r="N5" s="161"/>
      <c r="O5" s="175"/>
      <c r="P5" s="4" t="s">
        <v>241</v>
      </c>
      <c r="Q5" s="218">
        <v>72</v>
      </c>
      <c r="R5" s="217"/>
      <c r="S5" s="10"/>
      <c r="U5" s="311">
        <f>U4/(L25*COS(M25*PI()/180))</f>
        <v>8.5961151242300721E-3</v>
      </c>
      <c r="V5" s="312"/>
      <c r="W5" s="173"/>
    </row>
    <row r="6" spans="2:23" ht="22.5" customHeight="1" thickTop="1">
      <c r="B6" s="172"/>
      <c r="C6" s="143"/>
      <c r="D6" s="158"/>
      <c r="E6" s="315" t="s">
        <v>302</v>
      </c>
      <c r="F6" s="315" t="s">
        <v>161</v>
      </c>
      <c r="G6" s="315" t="s">
        <v>162</v>
      </c>
      <c r="H6" s="315" t="s">
        <v>163</v>
      </c>
      <c r="I6" s="335" t="s">
        <v>303</v>
      </c>
      <c r="K6" s="9"/>
      <c r="L6" s="161"/>
      <c r="M6" s="174" t="s">
        <v>250</v>
      </c>
      <c r="N6" s="174" t="s">
        <v>251</v>
      </c>
      <c r="O6" s="161"/>
      <c r="P6" s="16" t="s">
        <v>225</v>
      </c>
      <c r="Q6" s="219">
        <v>335</v>
      </c>
      <c r="R6" s="220"/>
      <c r="S6" s="10"/>
      <c r="U6" s="324" t="s">
        <v>281</v>
      </c>
      <c r="V6" s="325"/>
      <c r="W6" s="173"/>
    </row>
    <row r="7" spans="2:23" ht="20.25" customHeight="1">
      <c r="B7" s="172"/>
      <c r="C7" s="144"/>
      <c r="D7" s="159"/>
      <c r="E7" s="315"/>
      <c r="F7" s="300"/>
      <c r="G7" s="300"/>
      <c r="H7" s="300"/>
      <c r="I7" s="336"/>
      <c r="K7" s="9"/>
      <c r="L7" s="4" t="s">
        <v>445</v>
      </c>
      <c r="M7" s="233"/>
      <c r="N7" s="234"/>
      <c r="O7" s="161"/>
      <c r="P7" s="16" t="s">
        <v>446</v>
      </c>
      <c r="Q7" s="217">
        <v>1000</v>
      </c>
      <c r="R7" s="176"/>
      <c r="S7" s="10"/>
      <c r="U7" s="326">
        <f>Calc!G34</f>
        <v>72.292077183380812</v>
      </c>
      <c r="V7" s="327"/>
      <c r="W7" s="173"/>
    </row>
    <row r="8" spans="2:23" ht="21.6" customHeight="1" thickBot="1">
      <c r="B8" s="172"/>
      <c r="C8" s="145"/>
      <c r="D8" s="146"/>
      <c r="E8" s="185">
        <f>Calc!N6</f>
        <v>170.58</v>
      </c>
      <c r="F8" s="185">
        <f>Calc!O6</f>
        <v>510</v>
      </c>
      <c r="G8" s="185">
        <f>Calc!P6</f>
        <v>16.899999999999999</v>
      </c>
      <c r="H8" s="185">
        <f>Calc!Q6</f>
        <v>6.4000000000000003E-3</v>
      </c>
      <c r="I8" s="186">
        <f>Calc!R6</f>
        <v>0.20599999999999999</v>
      </c>
      <c r="K8" s="9"/>
      <c r="L8" s="16" t="s">
        <v>240</v>
      </c>
      <c r="M8" s="235"/>
      <c r="N8" s="161"/>
      <c r="O8" s="161"/>
      <c r="P8" s="4" t="s">
        <v>212</v>
      </c>
      <c r="Q8" s="221"/>
      <c r="R8" s="176"/>
      <c r="S8" s="10"/>
      <c r="U8" s="324" t="s">
        <v>253</v>
      </c>
      <c r="V8" s="325"/>
      <c r="W8" s="173"/>
    </row>
    <row r="9" spans="2:23" ht="21.6" customHeight="1" thickTop="1" thickBot="1">
      <c r="B9" s="172"/>
      <c r="E9" s="188"/>
      <c r="F9" s="188"/>
      <c r="G9" s="188"/>
      <c r="H9" s="188"/>
      <c r="I9" s="188"/>
      <c r="K9" s="9"/>
      <c r="L9" s="16" t="s">
        <v>182</v>
      </c>
      <c r="M9" s="217">
        <v>60</v>
      </c>
      <c r="N9" s="161"/>
      <c r="O9" s="161"/>
      <c r="P9" s="187"/>
      <c r="Q9" s="194"/>
      <c r="R9" s="176"/>
      <c r="S9" s="10"/>
      <c r="U9" s="311">
        <f>(U7-Q21)/Q21</f>
        <v>4.0566275469547282E-3</v>
      </c>
      <c r="V9" s="312"/>
      <c r="W9" s="173"/>
    </row>
    <row r="10" spans="2:23" ht="16.5" thickTop="1" thickBot="1">
      <c r="B10" s="172"/>
      <c r="C10" s="313" t="s">
        <v>169</v>
      </c>
      <c r="D10" s="314"/>
      <c r="E10" s="294">
        <v>3</v>
      </c>
      <c r="F10" s="162"/>
      <c r="G10" s="162"/>
      <c r="H10" s="162"/>
      <c r="I10" s="163"/>
      <c r="K10" s="9"/>
      <c r="L10" s="161"/>
      <c r="M10" s="161"/>
      <c r="N10" s="161"/>
      <c r="O10" s="161"/>
      <c r="P10" s="161"/>
      <c r="Q10" s="161" t="s">
        <v>157</v>
      </c>
      <c r="R10" s="161"/>
      <c r="S10" s="10"/>
      <c r="U10" s="324" t="s">
        <v>272</v>
      </c>
      <c r="V10" s="325"/>
      <c r="W10" s="173"/>
    </row>
    <row r="11" spans="2:23" ht="16.5">
      <c r="B11" s="172"/>
      <c r="C11" s="164"/>
      <c r="D11" s="161"/>
      <c r="E11" s="161"/>
      <c r="F11" s="161"/>
      <c r="G11" s="161"/>
      <c r="H11" s="161"/>
      <c r="I11" s="165"/>
      <c r="K11" s="9"/>
      <c r="L11" s="161"/>
      <c r="M11" s="161"/>
      <c r="N11" s="53" t="s">
        <v>233</v>
      </c>
      <c r="O11" s="53" t="s">
        <v>234</v>
      </c>
      <c r="P11" s="340" t="s">
        <v>235</v>
      </c>
      <c r="Q11" s="340"/>
      <c r="R11" s="161"/>
      <c r="S11" s="10"/>
      <c r="U11" s="341" t="str">
        <f>CONCATENATE(V13," SIL")</f>
        <v>0,07 SIL</v>
      </c>
      <c r="V11" s="342"/>
      <c r="W11" s="173"/>
    </row>
    <row r="12" spans="2:23">
      <c r="B12" s="172"/>
      <c r="C12" s="164"/>
      <c r="D12" s="161"/>
      <c r="E12" s="161"/>
      <c r="F12" s="161"/>
      <c r="G12" s="161"/>
      <c r="H12" s="161"/>
      <c r="I12" s="165"/>
      <c r="K12" s="9"/>
      <c r="L12" s="161"/>
      <c r="M12" s="161"/>
      <c r="N12" s="54">
        <f>Calc!E30</f>
        <v>2.8476539440712996E-2</v>
      </c>
      <c r="O12" s="54">
        <f>Calc!F30</f>
        <v>0.13177852577023302</v>
      </c>
      <c r="P12" s="133">
        <f>IMABS(Calc!A28)</f>
        <v>370.05000742361005</v>
      </c>
      <c r="Q12" s="55">
        <f>IMARGUMENT(Calc!A28)*180/PI()</f>
        <v>-12.193774960379088</v>
      </c>
      <c r="R12" s="161"/>
      <c r="S12" s="10"/>
      <c r="U12" s="306" t="s">
        <v>282</v>
      </c>
      <c r="V12" s="301"/>
      <c r="W12" s="173"/>
    </row>
    <row r="13" spans="2:23" ht="15.75" thickBot="1">
      <c r="B13" s="172"/>
      <c r="C13" s="164"/>
      <c r="D13" s="161"/>
      <c r="E13" s="161"/>
      <c r="F13" s="161"/>
      <c r="G13" s="161"/>
      <c r="H13" s="161"/>
      <c r="I13" s="165"/>
      <c r="K13" s="9"/>
      <c r="L13" s="161"/>
      <c r="M13" s="161"/>
      <c r="N13" s="161"/>
      <c r="O13" s="161"/>
      <c r="P13" s="161"/>
      <c r="Q13" s="161"/>
      <c r="R13" s="161"/>
      <c r="S13" s="10"/>
      <c r="U13" s="222">
        <f>Q21^2/P16*1000</f>
        <v>14679.099199321628</v>
      </c>
      <c r="V13" s="223">
        <f>ROUND(O24/U13,2)</f>
        <v>7.0000000000000007E-2</v>
      </c>
      <c r="W13" s="173"/>
    </row>
    <row r="14" spans="2:23" ht="19.5" thickTop="1" thickBot="1">
      <c r="B14" s="172"/>
      <c r="C14" s="164"/>
      <c r="D14" s="161"/>
      <c r="E14" s="292" t="s">
        <v>166</v>
      </c>
      <c r="F14" s="161"/>
      <c r="G14" s="161"/>
      <c r="H14" s="161"/>
      <c r="I14" s="165"/>
      <c r="K14" s="9"/>
      <c r="L14" s="161"/>
      <c r="M14" s="161"/>
      <c r="N14" s="161"/>
      <c r="O14" s="161"/>
      <c r="P14" s="161"/>
      <c r="Q14" s="161"/>
      <c r="R14" s="161"/>
      <c r="S14" s="10"/>
      <c r="W14" s="173"/>
    </row>
    <row r="15" spans="2:23" ht="17.25">
      <c r="B15" s="172"/>
      <c r="C15" s="164"/>
      <c r="D15" s="161"/>
      <c r="E15" s="293" cm="1">
        <f t="array" ref="E15">INDEX(Estruturas!$AE$4:$AG$18,Principal!$E$10,1)</f>
        <v>3.310966626228661</v>
      </c>
      <c r="F15" s="161"/>
      <c r="G15" s="161"/>
      <c r="H15" s="161"/>
      <c r="I15" s="165"/>
      <c r="K15" s="9"/>
      <c r="L15" s="161"/>
      <c r="M15" s="161"/>
      <c r="N15" s="161"/>
      <c r="O15" s="20" t="s">
        <v>183</v>
      </c>
      <c r="P15" s="81" t="s">
        <v>294</v>
      </c>
      <c r="Q15" s="161"/>
      <c r="R15" s="161"/>
      <c r="S15" s="10"/>
      <c r="U15" s="118" t="s">
        <v>293</v>
      </c>
      <c r="V15" s="131" t="s">
        <v>251</v>
      </c>
      <c r="W15" s="173"/>
    </row>
    <row r="16" spans="2:23" ht="18">
      <c r="B16" s="172"/>
      <c r="C16" s="164"/>
      <c r="D16" s="161"/>
      <c r="E16" s="161"/>
      <c r="F16" s="161"/>
      <c r="G16" s="161"/>
      <c r="H16" s="292" t="s">
        <v>167</v>
      </c>
      <c r="I16" s="165"/>
      <c r="K16" s="9"/>
      <c r="L16" s="161"/>
      <c r="M16" s="161"/>
      <c r="N16" s="161"/>
      <c r="O16" s="217">
        <v>100</v>
      </c>
      <c r="P16" s="133">
        <f>Calc!A30</f>
        <v>353.15518545167816</v>
      </c>
      <c r="Q16" s="161"/>
      <c r="R16" s="161"/>
      <c r="S16" s="10"/>
      <c r="U16" s="224">
        <f>IMABS(Calc!G36)</f>
        <v>5184.00000000001</v>
      </c>
      <c r="V16" s="225">
        <f>DEGREES(IMARGUMENT(Calc!G36))</f>
        <v>0</v>
      </c>
      <c r="W16" s="173"/>
    </row>
    <row r="17" spans="2:23">
      <c r="B17" s="172"/>
      <c r="C17" s="164"/>
      <c r="D17" s="161"/>
      <c r="E17" s="161"/>
      <c r="F17" s="161"/>
      <c r="G17" s="161"/>
      <c r="H17" s="293" cm="1">
        <f t="array" ref="H17">INDEX(Estruturas!$AE$4:$AG$18,Principal!$E$10,2)</f>
        <v>1.7</v>
      </c>
      <c r="I17" s="165"/>
      <c r="K17" s="9"/>
      <c r="L17" s="161"/>
      <c r="M17" s="161"/>
      <c r="N17" s="161"/>
      <c r="O17" s="161"/>
      <c r="P17" s="161"/>
      <c r="Q17" s="161"/>
      <c r="R17" s="161"/>
      <c r="S17" s="10"/>
      <c r="U17" s="117" t="s">
        <v>310</v>
      </c>
      <c r="V17" s="132" t="s">
        <v>251</v>
      </c>
      <c r="W17" s="173"/>
    </row>
    <row r="18" spans="2:23" ht="18.75" thickBot="1">
      <c r="B18" s="172"/>
      <c r="C18" s="164"/>
      <c r="D18" s="161"/>
      <c r="E18" s="161"/>
      <c r="F18" s="292" t="s">
        <v>168</v>
      </c>
      <c r="G18" s="161"/>
      <c r="H18" s="161"/>
      <c r="I18" s="165"/>
      <c r="K18" s="9"/>
      <c r="L18" s="161"/>
      <c r="M18" s="161"/>
      <c r="N18" s="161"/>
      <c r="O18" s="161"/>
      <c r="P18" s="161"/>
      <c r="Q18" s="161"/>
      <c r="R18" s="161"/>
      <c r="S18" s="10"/>
      <c r="U18" s="226">
        <f>Calc!A22</f>
        <v>2422.5382719067934</v>
      </c>
      <c r="V18" s="227">
        <f>Calc!B22</f>
        <v>-61.615683587176093</v>
      </c>
      <c r="W18" s="173"/>
    </row>
    <row r="19" spans="2:23" ht="15.75" thickBot="1">
      <c r="B19" s="172"/>
      <c r="C19" s="164"/>
      <c r="D19" s="161"/>
      <c r="E19" s="161"/>
      <c r="F19" s="293" cm="1">
        <f t="array" ref="F19">INDEX(Estruturas!$AE$4:$AG$18,Principal!$E$10,3)</f>
        <v>3.310966626228661</v>
      </c>
      <c r="G19" s="161"/>
      <c r="H19" s="161"/>
      <c r="I19" s="165"/>
      <c r="K19" s="9"/>
      <c r="L19" s="161"/>
      <c r="M19" s="161"/>
      <c r="N19" s="161"/>
      <c r="O19" s="161"/>
      <c r="P19" s="161"/>
      <c r="Q19" s="161"/>
      <c r="R19" s="161"/>
      <c r="S19" s="10"/>
      <c r="W19" s="173"/>
    </row>
    <row r="20" spans="2:23" ht="18">
      <c r="B20" s="172"/>
      <c r="C20" s="164"/>
      <c r="D20" s="161"/>
      <c r="E20" s="161"/>
      <c r="F20" s="161"/>
      <c r="G20" s="161"/>
      <c r="H20" s="161"/>
      <c r="I20" s="165"/>
      <c r="K20" s="9"/>
      <c r="L20" s="64" t="s">
        <v>226</v>
      </c>
      <c r="M20" s="65" t="s">
        <v>221</v>
      </c>
      <c r="N20" s="161"/>
      <c r="O20" s="64" t="s">
        <v>300</v>
      </c>
      <c r="P20" s="161"/>
      <c r="Q20" s="64" t="s">
        <v>238</v>
      </c>
      <c r="R20" s="65" t="s">
        <v>221</v>
      </c>
      <c r="S20" s="10"/>
      <c r="U20" s="135" t="s">
        <v>254</v>
      </c>
      <c r="V20" s="136" t="s">
        <v>304</v>
      </c>
      <c r="W20" s="173"/>
    </row>
    <row r="21" spans="2:23" ht="15.75" thickBot="1">
      <c r="B21" s="172"/>
      <c r="C21" s="164"/>
      <c r="D21" s="161"/>
      <c r="E21" s="161"/>
      <c r="F21" s="161"/>
      <c r="G21" s="161"/>
      <c r="H21" s="161"/>
      <c r="I21" s="165"/>
      <c r="K21" s="9"/>
      <c r="L21" s="91">
        <f>IF(AND($M$7=0,$Q$5=0),"",IF($M$7=0,Calc!A42,Calc!B47))</f>
        <v>71.694857652956259</v>
      </c>
      <c r="M21" s="66">
        <f>IF(AND($M$7=0,$Q$5=0),"",IF($M$7=0,Calc!B42,Calc!C47))</f>
        <v>0.71858673457330546</v>
      </c>
      <c r="N21" s="161"/>
      <c r="O21" s="68">
        <f>L25*COS(M25*PI()/180)</f>
        <v>1008.67064902142</v>
      </c>
      <c r="P21" s="161"/>
      <c r="Q21" s="91">
        <f>IF(AND($M$7=0,$Q$5=0),"",IF($M$7=0,Calc!B36,Calc!A53))</f>
        <v>72.000000000000071</v>
      </c>
      <c r="R21" s="66">
        <f>IF(AND($M$7=0,$Q$5=0),"",IF($M$7=0,Calc!C36,Calc!B53))</f>
        <v>0</v>
      </c>
      <c r="S21" s="10"/>
      <c r="U21" s="228">
        <f>Calc!B10*1000</f>
        <v>1.2052986983073337</v>
      </c>
      <c r="V21" s="229">
        <f>Calc!D10*1000000000</f>
        <v>9.6641466722627865</v>
      </c>
      <c r="W21" s="173"/>
    </row>
    <row r="22" spans="2:23" ht="18">
      <c r="B22" s="172"/>
      <c r="C22" s="328" t="s">
        <v>315</v>
      </c>
      <c r="D22" s="330"/>
      <c r="E22" s="141" t="s">
        <v>317</v>
      </c>
      <c r="F22" s="141" t="s">
        <v>441</v>
      </c>
      <c r="G22" s="142" t="s">
        <v>326</v>
      </c>
      <c r="H22" s="161"/>
      <c r="I22" s="165"/>
      <c r="K22" s="9"/>
      <c r="L22" s="64" t="s">
        <v>247</v>
      </c>
      <c r="M22" s="65" t="s">
        <v>221</v>
      </c>
      <c r="N22" s="161"/>
      <c r="O22" s="161"/>
      <c r="P22" s="161"/>
      <c r="Q22" s="64" t="s">
        <v>239</v>
      </c>
      <c r="R22" s="65" t="s">
        <v>221</v>
      </c>
      <c r="S22" s="10"/>
      <c r="U22" s="134" t="s">
        <v>305</v>
      </c>
      <c r="V22" s="229">
        <f>Calc!H13*1000000</f>
        <v>0.40173103315576408</v>
      </c>
      <c r="W22" s="173"/>
    </row>
    <row r="23" spans="2:23" ht="18.75" thickBot="1">
      <c r="B23" s="172"/>
      <c r="C23" s="329"/>
      <c r="D23" s="331"/>
      <c r="E23" s="214"/>
      <c r="F23" s="287">
        <f>Calc!H7*100</f>
        <v>1.69</v>
      </c>
      <c r="G23" s="288">
        <f>Calc!I7*100</f>
        <v>0.64</v>
      </c>
      <c r="H23" s="166"/>
      <c r="I23" s="167"/>
      <c r="K23" s="9"/>
      <c r="L23" s="91">
        <f>IF(AND($M$7=0,$Q$5=0),"",IF($M$7=0,Calc!C42,Calc!E47))</f>
        <v>17.086642487949455</v>
      </c>
      <c r="M23" s="66">
        <f>IF(AND($M$7=0,$Q$5=0),"",IF($M$7=0,Calc!D42,Calc!F47))</f>
        <v>62.334270321749266</v>
      </c>
      <c r="N23" s="161"/>
      <c r="O23" s="64" t="s">
        <v>301</v>
      </c>
      <c r="P23" s="161"/>
      <c r="Q23" s="66">
        <f>IF(AND($M$7=0,$Q$5=0),"",IF($M$7=0,Calc!E36,Calc!C53))</f>
        <v>8.01875373874479</v>
      </c>
      <c r="R23" s="66">
        <f>IF(AND($M$7=0,$Q$5=0),"",IF($M$7=0,Calc!F36,Calc!D53))</f>
        <v>0</v>
      </c>
      <c r="S23" s="10"/>
      <c r="U23" s="134" t="s">
        <v>309</v>
      </c>
      <c r="V23" s="229">
        <f>Calc!H15</f>
        <v>8.557584138229295</v>
      </c>
      <c r="W23" s="173"/>
    </row>
    <row r="24" spans="2:23" ht="19.5" thickTop="1" thickBot="1">
      <c r="B24" s="172"/>
      <c r="K24" s="9"/>
      <c r="L24" s="64" t="s">
        <v>248</v>
      </c>
      <c r="M24" s="65" t="s">
        <v>221</v>
      </c>
      <c r="N24" s="161"/>
      <c r="O24" s="68">
        <f>Q25*COS(R25*PI()/180)</f>
        <v>1000</v>
      </c>
      <c r="P24" s="161"/>
      <c r="Q24" s="64" t="s">
        <v>246</v>
      </c>
      <c r="R24" s="65" t="s">
        <v>221</v>
      </c>
      <c r="S24" s="10"/>
      <c r="U24" s="306" t="s">
        <v>329</v>
      </c>
      <c r="V24" s="230">
        <f>Calc!H16</f>
        <v>286079326.07175392</v>
      </c>
      <c r="W24" s="173"/>
    </row>
    <row r="25" spans="2:23" ht="18.75" thickTop="1">
      <c r="B25" s="172"/>
      <c r="C25" s="189" t="s">
        <v>170</v>
      </c>
      <c r="D25" s="190"/>
      <c r="E25" s="190"/>
      <c r="F25" s="190"/>
      <c r="G25" s="191" t="s">
        <v>171</v>
      </c>
      <c r="H25" s="192" t="s">
        <v>159</v>
      </c>
      <c r="I25" s="163"/>
      <c r="K25" s="9"/>
      <c r="L25" s="91">
        <f>IF(AND($M$7=0,$Q$5=0),"",IF($M$7=0,Calc!A44,Calc!E55))</f>
        <v>2121.8045029405621</v>
      </c>
      <c r="M25" s="66">
        <f>IF(AND($M$7=0,$Q$5=0),"",IF($M$7=0,Calc!B44,Calc!F55))</f>
        <v>-61.615683587175965</v>
      </c>
      <c r="N25" s="161"/>
      <c r="O25" s="161"/>
      <c r="P25" s="161"/>
      <c r="Q25" s="68">
        <f>IF(AND($M$7=0,$Q$5=0),"",IF($M$7=0,Calc!E44,Calc!A55))</f>
        <v>1000</v>
      </c>
      <c r="R25" s="66">
        <f>IF(AND($M$7=0,$Q$5=0),"",IF($M$7=0,Calc!F44,Calc!B55))</f>
        <v>0</v>
      </c>
      <c r="S25" s="10"/>
      <c r="U25" s="306"/>
      <c r="V25" s="231">
        <f>V24/300000000</f>
        <v>0.95359775357251308</v>
      </c>
      <c r="W25" s="173"/>
    </row>
    <row r="26" spans="2:23" ht="15.75" thickBot="1">
      <c r="B26" s="172"/>
      <c r="C26" s="193"/>
      <c r="D26" s="166"/>
      <c r="E26" s="166"/>
      <c r="F26" s="166"/>
      <c r="G26" s="215">
        <v>1</v>
      </c>
      <c r="H26" s="216">
        <v>0</v>
      </c>
      <c r="I26" s="167"/>
      <c r="K26" s="11"/>
      <c r="L26" s="12"/>
      <c r="M26" s="12"/>
      <c r="N26" s="296" t="s">
        <v>447</v>
      </c>
      <c r="O26" s="12"/>
      <c r="P26" s="12"/>
      <c r="Q26" s="12"/>
      <c r="R26" s="12"/>
      <c r="S26" s="13"/>
      <c r="U26" s="137" t="s">
        <v>333</v>
      </c>
      <c r="V26" s="232">
        <f>Calc!H18</f>
        <v>4767.9887678625646</v>
      </c>
      <c r="W26" s="173"/>
    </row>
    <row r="27" spans="2:23" ht="16.5" thickTop="1" thickBot="1">
      <c r="B27" s="177"/>
      <c r="C27" s="178"/>
      <c r="D27" s="178"/>
      <c r="E27" s="178"/>
      <c r="F27" s="178"/>
      <c r="G27" s="178"/>
      <c r="H27" s="178"/>
      <c r="I27" s="178"/>
      <c r="J27" s="178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9"/>
    </row>
    <row r="28" spans="2:23" ht="15.75" thickTop="1">
      <c r="F28" s="2"/>
    </row>
  </sheetData>
  <sheetProtection sheet="1" selectLockedCells="1"/>
  <mergeCells count="28">
    <mergeCell ref="U24:U25"/>
    <mergeCell ref="P11:Q11"/>
    <mergeCell ref="U8:V8"/>
    <mergeCell ref="U9:V9"/>
    <mergeCell ref="U10:V10"/>
    <mergeCell ref="U11:V11"/>
    <mergeCell ref="U12:V12"/>
    <mergeCell ref="C22:C23"/>
    <mergeCell ref="D22:D23"/>
    <mergeCell ref="E4:F4"/>
    <mergeCell ref="C3:I3"/>
    <mergeCell ref="F6:F7"/>
    <mergeCell ref="G6:G7"/>
    <mergeCell ref="I6:I7"/>
    <mergeCell ref="H6:H7"/>
    <mergeCell ref="H4:I4"/>
    <mergeCell ref="H5:I5"/>
    <mergeCell ref="U3:V3"/>
    <mergeCell ref="U4:V4"/>
    <mergeCell ref="U5:V5"/>
    <mergeCell ref="C10:D10"/>
    <mergeCell ref="E6:E7"/>
    <mergeCell ref="D4:D5"/>
    <mergeCell ref="C4:C5"/>
    <mergeCell ref="L4:M4"/>
    <mergeCell ref="L5:M5"/>
    <mergeCell ref="U6:V6"/>
    <mergeCell ref="U7:V7"/>
  </mergeCells>
  <conditionalFormatting sqref="G5">
    <cfRule type="cellIs" dxfId="0" priority="1" operator="between">
      <formula>0.6</formula>
      <formula>0.8</formula>
    </cfRule>
  </conditionalFormatting>
  <pageMargins left="0.51181102362204722" right="0.51181102362204722" top="0.78740157480314965" bottom="0.78740157480314965" header="0.31496062992125984" footer="0.31496062992125984"/>
  <pageSetup scale="5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Option Button 11">
              <controlPr defaultSize="0" autoFill="0" autoLine="0" autoPict="0">
                <anchor moveWithCells="1">
                  <from>
                    <xdr:col>2</xdr:col>
                    <xdr:colOff>47625</xdr:colOff>
                    <xdr:row>5</xdr:row>
                    <xdr:rowOff>47625</xdr:rowOff>
                  </from>
                  <to>
                    <xdr:col>2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5" name="Drop Down 14">
              <controlPr defaultSize="0" autoLine="0" autoPict="0">
                <anchor moveWithCells="1">
                  <from>
                    <xdr:col>3</xdr:col>
                    <xdr:colOff>9525</xdr:colOff>
                    <xdr:row>5</xdr:row>
                    <xdr:rowOff>19050</xdr:rowOff>
                  </from>
                  <to>
                    <xdr:col>3</xdr:col>
                    <xdr:colOff>857250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Option Button 15">
              <controlPr defaultSize="0" autoFill="0" autoLine="0" autoPict="0">
                <anchor moveWithCells="1">
                  <from>
                    <xdr:col>2</xdr:col>
                    <xdr:colOff>28575</xdr:colOff>
                    <xdr:row>6</xdr:row>
                    <xdr:rowOff>0</xdr:rowOff>
                  </from>
                  <to>
                    <xdr:col>2</xdr:col>
                    <xdr:colOff>590550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7" name="Drop Down 17">
              <controlPr defaultSize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857250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8" name="Drop Down 22">
              <controlPr defaultSize="0" autoLine="0" autoPict="0">
                <anchor moveWithCells="1">
                  <from>
                    <xdr:col>17</xdr:col>
                    <xdr:colOff>9525</xdr:colOff>
                    <xdr:row>7</xdr:row>
                    <xdr:rowOff>19050</xdr:rowOff>
                  </from>
                  <to>
                    <xdr:col>18</xdr:col>
                    <xdr:colOff>400050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9" name="Drop Down 17">
              <controlPr defaultSize="0" autoLine="0" autoPict="0">
                <anchor moveWithCells="1">
                  <from>
                    <xdr:col>3</xdr:col>
                    <xdr:colOff>0</xdr:colOff>
                    <xdr:row>20</xdr:row>
                    <xdr:rowOff>200025</xdr:rowOff>
                  </from>
                  <to>
                    <xdr:col>3</xdr:col>
                    <xdr:colOff>866775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Drop Down 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0</xdr:rowOff>
                  </from>
                  <to>
                    <xdr:col>3</xdr:col>
                    <xdr:colOff>866775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1" name="Option Button 15">
              <controlPr defaultSize="0" autoFill="0" autoLine="0" autoPict="0" altText="CAL">
                <anchor moveWithCells="1">
                  <from>
                    <xdr:col>2</xdr:col>
                    <xdr:colOff>19050</xdr:colOff>
                    <xdr:row>7</xdr:row>
                    <xdr:rowOff>19050</xdr:rowOff>
                  </from>
                  <to>
                    <xdr:col>2</xdr:col>
                    <xdr:colOff>590550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2" name="Group Box 16">
              <controlPr defaultSize="0" autoFill="0" autoPict="0">
                <anchor moveWithCells="1">
                  <from>
                    <xdr:col>2</xdr:col>
                    <xdr:colOff>9525</xdr:colOff>
                    <xdr:row>5</xdr:row>
                    <xdr:rowOff>19050</xdr:rowOff>
                  </from>
                  <to>
                    <xdr:col>2</xdr:col>
                    <xdr:colOff>581025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BC786-CB3E-4B43-B2D6-CAF78AF1B43A}">
  <sheetPr codeName="Planilha1"/>
  <dimension ref="B1:N22"/>
  <sheetViews>
    <sheetView showGridLines="0" workbookViewId="0">
      <selection activeCell="N4" sqref="N4:N5"/>
    </sheetView>
  </sheetViews>
  <sheetFormatPr defaultRowHeight="15"/>
  <cols>
    <col min="2" max="2" width="10.140625" customWidth="1"/>
    <col min="3" max="3" width="15.28515625" customWidth="1"/>
    <col min="4" max="4" width="3.140625" customWidth="1"/>
    <col min="5" max="5" width="4.28515625" customWidth="1"/>
    <col min="6" max="6" width="9.85546875" customWidth="1"/>
    <col min="7" max="7" width="9.7109375" customWidth="1"/>
    <col min="9" max="9" width="13.7109375" customWidth="1"/>
    <col min="13" max="13" width="9.42578125" bestFit="1" customWidth="1"/>
    <col min="14" max="14" width="17.7109375" customWidth="1"/>
  </cols>
  <sheetData>
    <row r="1" spans="2:14" ht="14.45" customHeight="1">
      <c r="B1" s="354" t="s">
        <v>427</v>
      </c>
      <c r="C1" s="355"/>
      <c r="D1" s="246"/>
      <c r="E1" s="246"/>
      <c r="F1" s="246"/>
      <c r="G1" s="246"/>
      <c r="H1" s="246"/>
      <c r="I1" s="246"/>
      <c r="J1" s="246"/>
      <c r="K1" s="247"/>
    </row>
    <row r="2" spans="2:14" ht="25.5">
      <c r="B2" s="356"/>
      <c r="C2" s="357"/>
      <c r="D2" s="248"/>
      <c r="E2" s="248"/>
      <c r="F2" s="252" t="s">
        <v>434</v>
      </c>
      <c r="G2" s="360" t="str">
        <f>Principal!L5</f>
        <v>Exemplo</v>
      </c>
      <c r="H2" s="360"/>
      <c r="I2" s="248"/>
      <c r="J2" s="248"/>
      <c r="K2" s="249"/>
    </row>
    <row r="3" spans="2:14" ht="15" customHeight="1" thickBot="1">
      <c r="B3" s="358"/>
      <c r="C3" s="359"/>
      <c r="D3" s="250"/>
      <c r="E3" s="250"/>
      <c r="F3" s="250"/>
      <c r="G3" s="250"/>
      <c r="H3" s="250"/>
      <c r="I3" s="250"/>
      <c r="J3" s="250"/>
      <c r="K3" s="251"/>
    </row>
    <row r="4" spans="2:14" ht="15.6" customHeight="1">
      <c r="B4" s="204"/>
      <c r="C4" s="205"/>
      <c r="D4" s="205"/>
      <c r="E4" s="205"/>
      <c r="F4" s="205"/>
      <c r="G4" s="205"/>
      <c r="H4" s="205"/>
      <c r="I4" s="205"/>
      <c r="J4" s="205"/>
      <c r="K4" s="206"/>
      <c r="M4" s="345" t="s">
        <v>429</v>
      </c>
      <c r="N4" s="349" t="str">
        <f>'PI-calc'!B11</f>
        <v>20,49+45,34i</v>
      </c>
    </row>
    <row r="5" spans="2:14" ht="15.75" thickBot="1">
      <c r="B5" s="207"/>
      <c r="C5" s="203"/>
      <c r="D5" s="203"/>
      <c r="E5" s="203"/>
      <c r="F5" s="203"/>
      <c r="G5" s="203"/>
      <c r="H5" s="203"/>
      <c r="I5" s="203"/>
      <c r="J5" s="203"/>
      <c r="K5" s="208"/>
      <c r="M5" s="346"/>
      <c r="N5" s="350"/>
    </row>
    <row r="6" spans="2:14" ht="15.6" customHeight="1">
      <c r="B6" s="207"/>
      <c r="C6" s="203"/>
      <c r="D6" s="203"/>
      <c r="E6" s="203"/>
      <c r="F6" s="353" t="str">
        <f>'PI-calc'!B11</f>
        <v>20,49+45,34i</v>
      </c>
      <c r="G6" s="353"/>
      <c r="H6" s="203"/>
      <c r="I6" s="203"/>
      <c r="J6" s="203"/>
      <c r="K6" s="208"/>
      <c r="M6" s="347" t="s">
        <v>428</v>
      </c>
      <c r="N6" s="351" t="str">
        <f>'PI-calc'!B14</f>
        <v>0,000182i</v>
      </c>
    </row>
    <row r="7" spans="2:14" ht="15.75" thickBot="1">
      <c r="B7" s="207"/>
      <c r="C7" s="203"/>
      <c r="D7" s="203"/>
      <c r="E7" s="203"/>
      <c r="F7" s="353"/>
      <c r="G7" s="353"/>
      <c r="H7" s="203"/>
      <c r="I7" s="203"/>
      <c r="J7" s="203"/>
      <c r="K7" s="208"/>
      <c r="M7" s="348"/>
      <c r="N7" s="352"/>
    </row>
    <row r="8" spans="2:14">
      <c r="B8" s="207"/>
      <c r="C8" s="203"/>
      <c r="D8" s="203"/>
      <c r="E8" s="203"/>
      <c r="F8" s="203"/>
      <c r="G8" s="203"/>
      <c r="H8" s="203"/>
      <c r="I8" s="203"/>
      <c r="J8" s="203"/>
      <c r="K8" s="208"/>
    </row>
    <row r="9" spans="2:14">
      <c r="B9" s="207"/>
      <c r="C9" s="203"/>
      <c r="D9" s="203"/>
      <c r="E9" s="203"/>
      <c r="F9" s="203"/>
      <c r="G9" s="203"/>
      <c r="H9" s="203"/>
      <c r="I9" s="203"/>
      <c r="J9" s="203"/>
      <c r="K9" s="208"/>
    </row>
    <row r="10" spans="2:14">
      <c r="B10" s="207"/>
      <c r="C10" s="203"/>
      <c r="D10" s="203"/>
      <c r="E10" s="203"/>
      <c r="F10" s="203"/>
      <c r="G10" s="203"/>
      <c r="H10" s="203"/>
      <c r="I10" s="203"/>
      <c r="J10" s="203"/>
      <c r="K10" s="208"/>
    </row>
    <row r="11" spans="2:14">
      <c r="B11" s="207"/>
      <c r="C11" s="203"/>
      <c r="D11" s="203"/>
      <c r="E11" s="203"/>
      <c r="F11" s="203"/>
      <c r="G11" s="203"/>
      <c r="H11" s="203"/>
      <c r="I11" s="203"/>
      <c r="J11" s="203"/>
      <c r="K11" s="208"/>
    </row>
    <row r="12" spans="2:14">
      <c r="B12" s="207"/>
      <c r="C12" s="203"/>
      <c r="D12" s="203"/>
      <c r="E12" s="203"/>
      <c r="F12" s="203"/>
      <c r="G12" s="203"/>
      <c r="H12" s="203"/>
      <c r="I12" s="203"/>
      <c r="J12" s="203"/>
      <c r="K12" s="208"/>
    </row>
    <row r="13" spans="2:14">
      <c r="B13" s="207"/>
      <c r="C13" s="203"/>
      <c r="D13" s="203"/>
      <c r="E13" s="203"/>
      <c r="F13" s="203"/>
      <c r="G13" s="203"/>
      <c r="H13" s="203"/>
      <c r="I13" s="203"/>
      <c r="J13" s="203"/>
      <c r="K13" s="208"/>
    </row>
    <row r="14" spans="2:14">
      <c r="B14" s="207"/>
      <c r="C14" s="344">
        <f>'PI-calc'!B13</f>
        <v>1.8200000000000001E-4</v>
      </c>
      <c r="D14" s="343" t="str">
        <f>IF(C14="","","i")</f>
        <v>i</v>
      </c>
      <c r="E14" s="203"/>
      <c r="F14" s="203"/>
      <c r="G14" s="203"/>
      <c r="H14" s="203"/>
      <c r="I14" s="344">
        <f>C14</f>
        <v>1.8200000000000001E-4</v>
      </c>
      <c r="J14" s="343" t="str">
        <f>IF(I14="","","i")</f>
        <v>i</v>
      </c>
      <c r="K14" s="208"/>
    </row>
    <row r="15" spans="2:14">
      <c r="B15" s="207"/>
      <c r="C15" s="344"/>
      <c r="D15" s="343"/>
      <c r="E15" s="203"/>
      <c r="F15" s="203"/>
      <c r="G15" s="203"/>
      <c r="H15" s="203"/>
      <c r="I15" s="344"/>
      <c r="J15" s="343"/>
      <c r="K15" s="208"/>
    </row>
    <row r="16" spans="2:14">
      <c r="B16" s="207"/>
      <c r="C16" s="203"/>
      <c r="D16" s="203"/>
      <c r="E16" s="203"/>
      <c r="F16" s="203"/>
      <c r="G16" s="203"/>
      <c r="H16" s="203"/>
      <c r="I16" s="203"/>
      <c r="J16" s="203"/>
      <c r="K16" s="208"/>
    </row>
    <row r="17" spans="2:11">
      <c r="B17" s="207"/>
      <c r="C17" s="203"/>
      <c r="D17" s="203"/>
      <c r="E17" s="203"/>
      <c r="F17" s="203"/>
      <c r="G17" s="203"/>
      <c r="H17" s="203"/>
      <c r="I17" s="203"/>
      <c r="J17" s="203"/>
      <c r="K17" s="208"/>
    </row>
    <row r="18" spans="2:11">
      <c r="B18" s="207"/>
      <c r="C18" s="203"/>
      <c r="D18" s="203"/>
      <c r="E18" s="203"/>
      <c r="F18" s="203"/>
      <c r="G18" s="203"/>
      <c r="H18" s="203"/>
      <c r="I18" s="203"/>
      <c r="J18" s="203"/>
      <c r="K18" s="208"/>
    </row>
    <row r="19" spans="2:11">
      <c r="B19" s="207"/>
      <c r="C19" s="203"/>
      <c r="D19" s="203"/>
      <c r="E19" s="203"/>
      <c r="F19" s="203"/>
      <c r="G19" s="203"/>
      <c r="H19" s="203"/>
      <c r="I19" s="203"/>
      <c r="J19" s="203"/>
      <c r="K19" s="208"/>
    </row>
    <row r="20" spans="2:11">
      <c r="B20" s="207"/>
      <c r="C20" s="203"/>
      <c r="D20" s="203"/>
      <c r="E20" s="203"/>
      <c r="F20" s="203"/>
      <c r="G20" s="203"/>
      <c r="H20" s="203"/>
      <c r="I20" s="203"/>
      <c r="J20" s="203"/>
      <c r="K20" s="208"/>
    </row>
    <row r="21" spans="2:11">
      <c r="B21" s="207"/>
      <c r="C21" s="203"/>
      <c r="D21" s="203"/>
      <c r="E21" s="203"/>
      <c r="F21" s="203"/>
      <c r="G21" s="203"/>
      <c r="H21" s="203"/>
      <c r="I21" s="203"/>
      <c r="J21" s="203"/>
      <c r="K21" s="208"/>
    </row>
    <row r="22" spans="2:11" ht="15.75" thickBot="1">
      <c r="B22" s="209"/>
      <c r="C22" s="210"/>
      <c r="D22" s="210"/>
      <c r="E22" s="210"/>
      <c r="F22" s="210"/>
      <c r="G22" s="210"/>
      <c r="H22" s="210"/>
      <c r="I22" s="210"/>
      <c r="J22" s="210"/>
      <c r="K22" s="211"/>
    </row>
  </sheetData>
  <sheetProtection sheet="1" scenarios="1" selectLockedCells="1"/>
  <mergeCells count="11">
    <mergeCell ref="N4:N5"/>
    <mergeCell ref="N6:N7"/>
    <mergeCell ref="F6:G7"/>
    <mergeCell ref="B1:C3"/>
    <mergeCell ref="G2:H2"/>
    <mergeCell ref="D14:D15"/>
    <mergeCell ref="C14:C15"/>
    <mergeCell ref="I14:I15"/>
    <mergeCell ref="J14:J15"/>
    <mergeCell ref="M4:M5"/>
    <mergeCell ref="M6:M7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V53"/>
  <sheetViews>
    <sheetView showGridLines="0" workbookViewId="0">
      <selection activeCell="H8" sqref="H8"/>
    </sheetView>
  </sheetViews>
  <sheetFormatPr defaultColWidth="8.85546875" defaultRowHeight="15"/>
  <cols>
    <col min="1" max="1" width="3.85546875" style="237" customWidth="1"/>
    <col min="2" max="2" width="13.85546875" style="237" bestFit="1" customWidth="1"/>
    <col min="3" max="3" width="11.5703125" style="257" customWidth="1"/>
    <col min="4" max="4" width="9.140625" style="237" customWidth="1"/>
    <col min="5" max="5" width="12" style="237" bestFit="1" customWidth="1"/>
    <col min="6" max="6" width="2.28515625" style="237" customWidth="1"/>
    <col min="7" max="7" width="11.28515625" style="237" customWidth="1"/>
    <col min="8" max="8" width="10.28515625" style="237" customWidth="1"/>
    <col min="9" max="9" width="1.5703125" style="237" customWidth="1"/>
    <col min="10" max="10" width="8.42578125" style="237" bestFit="1" customWidth="1"/>
    <col min="11" max="11" width="9.140625" style="237" bestFit="1" customWidth="1"/>
    <col min="12" max="12" width="1.42578125" style="237" customWidth="1"/>
    <col min="13" max="13" width="8.85546875" style="237"/>
    <col min="14" max="14" width="14.5703125" style="237" bestFit="1" customWidth="1"/>
    <col min="15" max="15" width="1.7109375" style="237" customWidth="1"/>
    <col min="16" max="16" width="10.7109375" style="237" bestFit="1" customWidth="1"/>
    <col min="17" max="17" width="10.85546875" style="237" bestFit="1" customWidth="1"/>
    <col min="18" max="18" width="9.28515625" style="237" bestFit="1" customWidth="1"/>
    <col min="19" max="19" width="11.5703125" style="237" bestFit="1" customWidth="1"/>
    <col min="20" max="20" width="9.28515625" style="237" bestFit="1" customWidth="1"/>
    <col min="21" max="21" width="11.5703125" style="237" bestFit="1" customWidth="1"/>
    <col min="22" max="22" width="9.28515625" style="237" bestFit="1" customWidth="1"/>
    <col min="23" max="23" width="12.5703125" style="237" bestFit="1" customWidth="1"/>
    <col min="24" max="24" width="9.28515625" style="237" bestFit="1" customWidth="1"/>
    <col min="25" max="16384" width="8.85546875" style="237"/>
  </cols>
  <sheetData>
    <row r="1" spans="2:5" ht="30.6" customHeight="1" thickBot="1"/>
    <row r="2" spans="2:5" ht="20.25" thickTop="1" thickBot="1">
      <c r="B2" s="361" t="s">
        <v>414</v>
      </c>
      <c r="C2" s="362"/>
      <c r="D2" s="362"/>
      <c r="E2" s="363"/>
    </row>
    <row r="3" spans="2:5" ht="15.75" thickTop="1">
      <c r="B3" s="373" t="s">
        <v>269</v>
      </c>
      <c r="C3" s="374"/>
      <c r="D3" s="285"/>
      <c r="E3" s="286" t="str">
        <f>Principal!L5</f>
        <v>Exemplo</v>
      </c>
    </row>
    <row r="4" spans="2:5">
      <c r="B4" s="372" t="s">
        <v>96</v>
      </c>
      <c r="C4" s="268" t="s">
        <v>415</v>
      </c>
      <c r="D4" s="277"/>
      <c r="E4" s="267">
        <f>Calc!$C$4</f>
        <v>170.58</v>
      </c>
    </row>
    <row r="5" spans="2:5">
      <c r="B5" s="372"/>
      <c r="C5" s="268" t="s">
        <v>165</v>
      </c>
      <c r="D5" s="277"/>
      <c r="E5" s="272">
        <f>Calc!$B$4</f>
        <v>336</v>
      </c>
    </row>
    <row r="6" spans="2:5">
      <c r="B6" s="372"/>
      <c r="C6" s="268" t="s">
        <v>262</v>
      </c>
      <c r="D6" s="277"/>
      <c r="E6" s="267">
        <f>Principal!F8</f>
        <v>510</v>
      </c>
    </row>
    <row r="7" spans="2:5">
      <c r="B7" s="372"/>
      <c r="C7" s="268" t="s">
        <v>260</v>
      </c>
      <c r="D7" s="277"/>
      <c r="E7" s="267">
        <f>Calc!$D$4*1000</f>
        <v>16.899999999999999</v>
      </c>
    </row>
    <row r="8" spans="2:5">
      <c r="B8" s="372"/>
      <c r="C8" s="268" t="s">
        <v>261</v>
      </c>
      <c r="D8" s="277"/>
      <c r="E8" s="267">
        <f>Calc!$E$4*1000</f>
        <v>6.4</v>
      </c>
    </row>
    <row r="9" spans="2:5">
      <c r="B9" s="372"/>
      <c r="C9" s="268" t="s">
        <v>416</v>
      </c>
      <c r="D9" s="277"/>
      <c r="E9" s="267">
        <f>Calc!$F$4</f>
        <v>0.20599999999999999</v>
      </c>
    </row>
    <row r="10" spans="2:5">
      <c r="B10" s="372" t="s">
        <v>263</v>
      </c>
      <c r="C10" s="268" t="s">
        <v>264</v>
      </c>
      <c r="D10" s="277"/>
      <c r="E10" s="273">
        <f>Calc!$A$7</f>
        <v>3.310966626228661</v>
      </c>
    </row>
    <row r="11" spans="2:5">
      <c r="B11" s="372"/>
      <c r="C11" s="268" t="s">
        <v>265</v>
      </c>
      <c r="D11" s="277"/>
      <c r="E11" s="273">
        <f>Calc!$B$7</f>
        <v>1.7</v>
      </c>
    </row>
    <row r="12" spans="2:5">
      <c r="B12" s="372"/>
      <c r="C12" s="268" t="s">
        <v>266</v>
      </c>
      <c r="D12" s="277"/>
      <c r="E12" s="273">
        <f>Calc!$C$7</f>
        <v>3.310966626228661</v>
      </c>
    </row>
    <row r="13" spans="2:5">
      <c r="B13" s="372"/>
      <c r="C13" s="268" t="s">
        <v>267</v>
      </c>
      <c r="D13" s="277"/>
      <c r="E13" s="273">
        <f>Calc!$D$7</f>
        <v>2.6512631927148687</v>
      </c>
    </row>
    <row r="14" spans="2:5">
      <c r="B14" s="372" t="s">
        <v>268</v>
      </c>
      <c r="C14" s="268" t="s">
        <v>416</v>
      </c>
      <c r="D14" s="277"/>
      <c r="E14" s="267">
        <f>Calc!$A$10</f>
        <v>0.20599999999999999</v>
      </c>
    </row>
    <row r="15" spans="2:5">
      <c r="B15" s="372"/>
      <c r="C15" s="268" t="s">
        <v>270</v>
      </c>
      <c r="D15" s="277"/>
      <c r="E15" s="267">
        <f>Calc!$C$10</f>
        <v>0</v>
      </c>
    </row>
    <row r="16" spans="2:5">
      <c r="B16" s="372"/>
      <c r="C16" s="268" t="s">
        <v>280</v>
      </c>
      <c r="D16" s="277"/>
      <c r="E16" s="274">
        <f>Calc!$B$10*1000</f>
        <v>1.2052986983073337</v>
      </c>
    </row>
    <row r="17" spans="2:22">
      <c r="B17" s="372"/>
      <c r="C17" s="268" t="s">
        <v>417</v>
      </c>
      <c r="D17" s="277"/>
      <c r="E17" s="274">
        <f>Calc!$D$10*1000000000</f>
        <v>9.6641466722627865</v>
      </c>
    </row>
    <row r="18" spans="2:22" ht="15.75" thickBot="1">
      <c r="B18" s="253" t="s">
        <v>331</v>
      </c>
      <c r="C18" s="275" t="s">
        <v>418</v>
      </c>
      <c r="D18" s="277"/>
      <c r="E18" s="267">
        <f>Calc!$A$12</f>
        <v>100</v>
      </c>
    </row>
    <row r="19" spans="2:22" ht="15.75" thickTop="1">
      <c r="B19" s="375" t="s">
        <v>271</v>
      </c>
      <c r="C19" s="376"/>
      <c r="D19" s="278" t="s">
        <v>250</v>
      </c>
      <c r="E19" s="254" t="s">
        <v>251</v>
      </c>
    </row>
    <row r="20" spans="2:22">
      <c r="B20" s="364" t="s">
        <v>279</v>
      </c>
      <c r="C20" s="276" t="s">
        <v>419</v>
      </c>
      <c r="D20" s="279">
        <f>IMABS(Calc!$E$28)</f>
        <v>1.3482022531020501E-3</v>
      </c>
      <c r="E20" s="255">
        <f>DEGREES(IMARGUMENT(Calc!$E$28))</f>
        <v>77.806225039620941</v>
      </c>
    </row>
    <row r="21" spans="2:22">
      <c r="B21" s="365"/>
      <c r="C21" s="276" t="s">
        <v>420</v>
      </c>
      <c r="D21" s="280">
        <f>IMABS(Calc!A28)</f>
        <v>370.05000742361005</v>
      </c>
      <c r="E21" s="255">
        <f>DEGREES(IMARGUMENT(Calc!A28))</f>
        <v>-12.193774960379088</v>
      </c>
    </row>
    <row r="22" spans="2:22">
      <c r="B22" s="365"/>
      <c r="C22" s="276" t="s">
        <v>421</v>
      </c>
      <c r="D22" s="281">
        <f>IMABS(Calc!A30)</f>
        <v>353.15518545167816</v>
      </c>
      <c r="E22" s="255">
        <f>DEGREES(IMARGUMENT(Calc!A30))</f>
        <v>0</v>
      </c>
    </row>
    <row r="23" spans="2:22">
      <c r="B23" s="368" t="s">
        <v>273</v>
      </c>
      <c r="C23" s="276" t="s">
        <v>274</v>
      </c>
      <c r="D23" s="281">
        <f>Principal!L21</f>
        <v>71.694857652956259</v>
      </c>
      <c r="E23" s="256">
        <f>Principal!M21</f>
        <v>0.71858673457330546</v>
      </c>
    </row>
    <row r="24" spans="2:22">
      <c r="B24" s="368"/>
      <c r="C24" s="276" t="s">
        <v>275</v>
      </c>
      <c r="D24" s="281">
        <f>Principal!L23</f>
        <v>17.086642487949455</v>
      </c>
      <c r="E24" s="256">
        <f>Principal!M23</f>
        <v>62.334270321749266</v>
      </c>
    </row>
    <row r="25" spans="2:22">
      <c r="B25" s="368"/>
      <c r="C25" s="276" t="s">
        <v>277</v>
      </c>
      <c r="D25" s="282">
        <f>Principal!L25</f>
        <v>2121.8045029405621</v>
      </c>
      <c r="E25" s="256">
        <f>Principal!M25</f>
        <v>-61.615683587175965</v>
      </c>
    </row>
    <row r="26" spans="2:22">
      <c r="B26" s="368"/>
      <c r="C26" s="276" t="s">
        <v>276</v>
      </c>
      <c r="D26" s="277"/>
      <c r="E26" s="267">
        <f>D25*COS(E25*PI()/180)</f>
        <v>1008.67064902142</v>
      </c>
    </row>
    <row r="27" spans="2:22">
      <c r="B27" s="369" t="s">
        <v>290</v>
      </c>
      <c r="C27" s="276" t="s">
        <v>274</v>
      </c>
      <c r="D27" s="280">
        <f>Principal!Q21</f>
        <v>72.000000000000071</v>
      </c>
      <c r="E27" s="256">
        <f>Principal!R21</f>
        <v>0</v>
      </c>
    </row>
    <row r="28" spans="2:22">
      <c r="B28" s="368"/>
      <c r="C28" s="276" t="s">
        <v>275</v>
      </c>
      <c r="D28" s="280">
        <f>Principal!Q23</f>
        <v>8.01875373874479</v>
      </c>
      <c r="E28" s="256">
        <f>Principal!R23</f>
        <v>0</v>
      </c>
    </row>
    <row r="29" spans="2:22">
      <c r="B29" s="368"/>
      <c r="C29" s="276" t="s">
        <v>277</v>
      </c>
      <c r="D29" s="283">
        <f>Principal!Q25</f>
        <v>1000</v>
      </c>
      <c r="E29" s="256">
        <f>Principal!R25</f>
        <v>0</v>
      </c>
    </row>
    <row r="30" spans="2:22">
      <c r="B30" s="368"/>
      <c r="C30" s="276" t="s">
        <v>276</v>
      </c>
      <c r="D30" s="277"/>
      <c r="E30" s="267">
        <f>D29*COS(E29*PI()/180)</f>
        <v>1000</v>
      </c>
    </row>
    <row r="31" spans="2:22">
      <c r="B31" s="368"/>
      <c r="C31" s="276" t="s">
        <v>424</v>
      </c>
      <c r="D31" s="280">
        <f>IMABS(Calc!E19)</f>
        <v>335</v>
      </c>
      <c r="E31" s="256">
        <f>DEGREES(IMARGUMENT(Calc!E19))</f>
        <v>0</v>
      </c>
    </row>
    <row r="32" spans="2:22">
      <c r="B32" s="370" t="s">
        <v>278</v>
      </c>
      <c r="C32" s="371"/>
      <c r="D32" s="277"/>
      <c r="E32" s="270">
        <f>Principal!U9</f>
        <v>4.0566275469547282E-3</v>
      </c>
      <c r="U32" s="258"/>
      <c r="V32" s="258"/>
    </row>
    <row r="33" spans="2:12">
      <c r="B33" s="370" t="s">
        <v>422</v>
      </c>
      <c r="C33" s="371"/>
      <c r="D33" s="277"/>
      <c r="E33" s="269">
        <f>(E26-E30)/E26</f>
        <v>8.5961151242300721E-3</v>
      </c>
      <c r="L33" s="259"/>
    </row>
    <row r="34" spans="2:12" ht="15.75" thickBot="1">
      <c r="B34" s="366" t="s">
        <v>423</v>
      </c>
      <c r="C34" s="367"/>
      <c r="D34" s="284"/>
      <c r="E34" s="271">
        <f>Principal!V13</f>
        <v>7.0000000000000007E-2</v>
      </c>
      <c r="L34" s="259"/>
    </row>
    <row r="35" spans="2:12" ht="15.75" thickTop="1"/>
    <row r="36" spans="2:12">
      <c r="E36" s="260"/>
    </row>
    <row r="37" spans="2:12">
      <c r="B37" s="261"/>
      <c r="D37" s="262"/>
      <c r="E37" s="263"/>
    </row>
    <row r="38" spans="2:12">
      <c r="B38" s="261"/>
      <c r="D38" s="262"/>
      <c r="E38" s="263"/>
    </row>
    <row r="39" spans="2:12">
      <c r="B39" s="261"/>
      <c r="D39" s="262"/>
      <c r="E39" s="263"/>
    </row>
    <row r="40" spans="2:12">
      <c r="B40" s="261"/>
      <c r="D40" s="262"/>
      <c r="E40" s="263"/>
    </row>
    <row r="41" spans="2:12">
      <c r="B41" s="261"/>
      <c r="D41" s="262"/>
      <c r="E41" s="263"/>
    </row>
    <row r="42" spans="2:12">
      <c r="B42" s="261"/>
      <c r="D42" s="262"/>
      <c r="E42" s="263"/>
    </row>
    <row r="43" spans="2:12">
      <c r="B43" s="261"/>
      <c r="D43" s="262"/>
      <c r="E43" s="263"/>
    </row>
    <row r="44" spans="2:12">
      <c r="B44" s="261"/>
      <c r="D44" s="262"/>
      <c r="E44" s="263"/>
    </row>
    <row r="45" spans="2:12">
      <c r="B45" s="261"/>
      <c r="D45" s="262"/>
      <c r="E45" s="263"/>
    </row>
    <row r="47" spans="2:12">
      <c r="E47" s="264"/>
    </row>
    <row r="48" spans="2:12">
      <c r="E48" s="264"/>
    </row>
    <row r="49" spans="4:5">
      <c r="E49" s="264"/>
    </row>
    <row r="50" spans="4:5">
      <c r="D50" s="260"/>
      <c r="E50" s="265"/>
    </row>
    <row r="51" spans="4:5">
      <c r="D51" s="266"/>
      <c r="E51" s="264"/>
    </row>
    <row r="52" spans="4:5">
      <c r="D52" s="266"/>
      <c r="E52" s="264"/>
    </row>
    <row r="53" spans="4:5">
      <c r="D53" s="266"/>
      <c r="E53" s="264"/>
    </row>
  </sheetData>
  <sheetProtection sheet="1" scenarios="1" selectLockedCells="1"/>
  <sortState xmlns:xlrd2="http://schemas.microsoft.com/office/spreadsheetml/2017/richdata2" ref="D36:D43">
    <sortCondition descending="1" ref="D36:D43"/>
  </sortState>
  <mergeCells count="12">
    <mergeCell ref="B2:E2"/>
    <mergeCell ref="B20:B22"/>
    <mergeCell ref="B34:C34"/>
    <mergeCell ref="B23:B26"/>
    <mergeCell ref="B27:B31"/>
    <mergeCell ref="B32:C32"/>
    <mergeCell ref="B33:C33"/>
    <mergeCell ref="B14:B17"/>
    <mergeCell ref="B4:B9"/>
    <mergeCell ref="B3:C3"/>
    <mergeCell ref="B10:B13"/>
    <mergeCell ref="B19:C19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U62"/>
  <sheetViews>
    <sheetView workbookViewId="0">
      <selection activeCell="I5" sqref="I5"/>
    </sheetView>
  </sheetViews>
  <sheetFormatPr defaultRowHeight="15"/>
  <cols>
    <col min="1" max="1" width="17.140625" customWidth="1"/>
    <col min="2" max="2" width="23" customWidth="1"/>
    <col min="3" max="3" width="24.140625" customWidth="1"/>
    <col min="4" max="4" width="18.7109375" customWidth="1"/>
    <col min="5" max="5" width="20.140625" customWidth="1"/>
    <col min="6" max="6" width="23.7109375" customWidth="1"/>
    <col min="7" max="7" width="18.5703125" customWidth="1"/>
    <col min="8" max="8" width="20.5703125" customWidth="1"/>
    <col min="9" max="9" width="12" bestFit="1" customWidth="1"/>
    <col min="11" max="11" width="1.7109375" customWidth="1"/>
    <col min="12" max="12" width="11" bestFit="1" customWidth="1"/>
  </cols>
  <sheetData>
    <row r="1" spans="1:21">
      <c r="A1" s="404" t="s">
        <v>172</v>
      </c>
      <c r="B1" s="405"/>
      <c r="C1" s="405"/>
      <c r="D1" s="405"/>
      <c r="E1" s="405"/>
      <c r="F1" s="405"/>
      <c r="G1" s="378">
        <v>1</v>
      </c>
      <c r="H1" s="99" t="s">
        <v>255</v>
      </c>
      <c r="I1" s="107" t="s">
        <v>316</v>
      </c>
      <c r="J1" s="454">
        <f>INDEX(G4:G6,I2,1)</f>
        <v>1</v>
      </c>
      <c r="L1" s="377" t="s">
        <v>27</v>
      </c>
      <c r="M1" s="377"/>
      <c r="N1" s="152" t="s">
        <v>382</v>
      </c>
      <c r="O1" s="56" t="s">
        <v>383</v>
      </c>
      <c r="P1" s="56" t="s">
        <v>349</v>
      </c>
      <c r="Q1" s="56" t="s">
        <v>384</v>
      </c>
      <c r="R1" s="56" t="s">
        <v>385</v>
      </c>
      <c r="S1" s="56" t="s">
        <v>165</v>
      </c>
      <c r="T1" s="56" t="s">
        <v>27</v>
      </c>
      <c r="U1" s="152" t="s">
        <v>444</v>
      </c>
    </row>
    <row r="2" spans="1:21" ht="15.75" thickBot="1">
      <c r="A2" s="380" t="s">
        <v>173</v>
      </c>
      <c r="B2" s="380"/>
      <c r="C2" s="380"/>
      <c r="D2" s="380"/>
      <c r="E2" s="380"/>
      <c r="F2" s="410"/>
      <c r="G2" s="379"/>
      <c r="H2" s="100" t="s">
        <v>256</v>
      </c>
      <c r="I2" s="108">
        <v>1</v>
      </c>
      <c r="J2" s="455"/>
      <c r="L2" s="377"/>
      <c r="M2" s="377"/>
      <c r="N2" s="119">
        <v>1</v>
      </c>
      <c r="O2" s="5">
        <v>2</v>
      </c>
      <c r="P2" s="119">
        <v>3</v>
      </c>
      <c r="Q2" s="5">
        <v>4</v>
      </c>
      <c r="R2" s="119">
        <v>5</v>
      </c>
      <c r="S2" s="5">
        <v>6</v>
      </c>
      <c r="T2" s="119">
        <v>7</v>
      </c>
      <c r="U2" s="5">
        <v>8</v>
      </c>
    </row>
    <row r="3" spans="1:21" ht="17.25">
      <c r="A3" s="5" t="s">
        <v>174</v>
      </c>
      <c r="B3" s="5" t="s">
        <v>165</v>
      </c>
      <c r="C3" s="5" t="s">
        <v>390</v>
      </c>
      <c r="D3" s="5" t="s">
        <v>177</v>
      </c>
      <c r="E3" s="5" t="s">
        <v>176</v>
      </c>
      <c r="F3" s="17" t="s">
        <v>175</v>
      </c>
      <c r="G3" s="33" t="s">
        <v>312</v>
      </c>
      <c r="H3" s="93" t="s">
        <v>177</v>
      </c>
      <c r="I3" s="93" t="s">
        <v>176</v>
      </c>
      <c r="J3" s="67" t="s">
        <v>175</v>
      </c>
      <c r="L3" s="74">
        <v>1</v>
      </c>
      <c r="M3" s="74" t="s">
        <v>386</v>
      </c>
      <c r="N3" s="150">
        <f>CA!V4</f>
        <v>170.58</v>
      </c>
      <c r="O3" s="150">
        <f>CA!W4</f>
        <v>510</v>
      </c>
      <c r="P3" s="150">
        <f>CA!X4</f>
        <v>16.899999999999999</v>
      </c>
      <c r="Q3" s="150">
        <f>CA!Y4</f>
        <v>6.4000000000000003E-3</v>
      </c>
      <c r="R3" s="150">
        <f>CA!Z4</f>
        <v>0.20599999999999999</v>
      </c>
      <c r="S3" s="150">
        <f>CA!AA4</f>
        <v>336</v>
      </c>
      <c r="T3" s="150" t="str">
        <f>CA!AB4</f>
        <v>Tulip</v>
      </c>
      <c r="U3" s="150">
        <f>N3</f>
        <v>170.58</v>
      </c>
    </row>
    <row r="4" spans="1:21">
      <c r="A4" s="18" t="str">
        <f>T6</f>
        <v>Tulip</v>
      </c>
      <c r="B4" s="18">
        <f>S6</f>
        <v>336</v>
      </c>
      <c r="C4" s="18">
        <f>N6</f>
        <v>170.58</v>
      </c>
      <c r="D4" s="18">
        <f>P6/1000</f>
        <v>1.6899999999999998E-2</v>
      </c>
      <c r="E4" s="18">
        <f>Q6</f>
        <v>6.4000000000000003E-3</v>
      </c>
      <c r="F4" s="96">
        <f>R6</f>
        <v>0.20599999999999999</v>
      </c>
      <c r="G4" s="94">
        <v>1</v>
      </c>
      <c r="H4" s="92">
        <f>D4</f>
        <v>1.6899999999999998E-2</v>
      </c>
      <c r="I4" s="92">
        <f>E4</f>
        <v>6.4000000000000003E-3</v>
      </c>
      <c r="J4" s="95">
        <f>F4</f>
        <v>0.20599999999999999</v>
      </c>
      <c r="L4" s="74">
        <v>2</v>
      </c>
      <c r="M4" s="74" t="s">
        <v>387</v>
      </c>
      <c r="N4" s="150">
        <f>CAA!V3</f>
        <v>280.8</v>
      </c>
      <c r="O4" s="150">
        <f>CAA!W3</f>
        <v>660</v>
      </c>
      <c r="P4" s="150">
        <f>CAA!X3</f>
        <v>21.8</v>
      </c>
      <c r="Q4" s="150">
        <f>CAA!Y3</f>
        <v>8.8400000000000006E-3</v>
      </c>
      <c r="R4" s="150">
        <f>CAA!Z3</f>
        <v>0.14399999999999999</v>
      </c>
      <c r="S4" s="150">
        <f>CAA!AA3</f>
        <v>477</v>
      </c>
      <c r="T4" s="150" t="str">
        <f>CAA!AB3</f>
        <v>Hawk</v>
      </c>
      <c r="U4" s="150">
        <f>CAA!AC3</f>
        <v>241.51</v>
      </c>
    </row>
    <row r="5" spans="1:21" ht="15.75" thickBot="1">
      <c r="A5" s="398" t="s">
        <v>160</v>
      </c>
      <c r="B5" s="398"/>
      <c r="C5" s="398"/>
      <c r="D5" s="456"/>
      <c r="E5" s="398" t="s">
        <v>185</v>
      </c>
      <c r="F5" s="456"/>
      <c r="G5" s="94">
        <v>2</v>
      </c>
      <c r="H5" s="101">
        <f>2*H51</f>
        <v>0</v>
      </c>
      <c r="I5" s="101">
        <f>H52</f>
        <v>0</v>
      </c>
      <c r="J5" s="102">
        <f>J4/G5</f>
        <v>0.10299999999999999</v>
      </c>
      <c r="L5" s="153">
        <v>3</v>
      </c>
      <c r="M5" s="153" t="s">
        <v>388</v>
      </c>
      <c r="N5" s="154">
        <f>CAL!N3</f>
        <v>177.62</v>
      </c>
      <c r="O5" s="154">
        <f>CAL!O3</f>
        <v>520</v>
      </c>
      <c r="P5" s="154">
        <f>CAL!P3</f>
        <v>17.25</v>
      </c>
      <c r="Q5" s="154">
        <f>CAL!Q3</f>
        <v>6.5300000000000002E-3</v>
      </c>
      <c r="R5" s="154">
        <f>CAL!R3</f>
        <v>0.22600000000000001</v>
      </c>
      <c r="S5" s="154">
        <f>CAL!S3</f>
        <v>350</v>
      </c>
      <c r="T5" s="154" t="str">
        <f>CAL!T3</f>
        <v>350MCM</v>
      </c>
      <c r="U5" s="154">
        <f>N5</f>
        <v>177.62</v>
      </c>
    </row>
    <row r="6" spans="1:21" ht="18.75" thickBot="1">
      <c r="A6" s="5" t="s">
        <v>179</v>
      </c>
      <c r="B6" s="5" t="s">
        <v>180</v>
      </c>
      <c r="C6" s="5" t="s">
        <v>181</v>
      </c>
      <c r="D6" s="17" t="s">
        <v>178</v>
      </c>
      <c r="E6" s="14" t="s">
        <v>158</v>
      </c>
      <c r="F6" s="97" t="s">
        <v>159</v>
      </c>
      <c r="G6" s="94">
        <v>4</v>
      </c>
      <c r="H6" s="103">
        <f>I51*2</f>
        <v>0</v>
      </c>
      <c r="I6" s="56">
        <f>I52</f>
        <v>0</v>
      </c>
      <c r="J6" s="104">
        <f>J4/G6</f>
        <v>5.1499999999999997E-2</v>
      </c>
      <c r="L6" s="155" t="s">
        <v>389</v>
      </c>
      <c r="M6" s="156">
        <v>1</v>
      </c>
      <c r="N6" s="156" cm="1">
        <f t="array" ref="N6">INDEX($N$3:$T$5,$M$6,N2)</f>
        <v>170.58</v>
      </c>
      <c r="O6" s="156" cm="1">
        <f t="array" ref="O6">INDEX($N$3:$T$5,$M$6,O2)</f>
        <v>510</v>
      </c>
      <c r="P6" s="156" cm="1">
        <f t="array" ref="P6">INDEX($N$3:$T$5,$M$6,P2)</f>
        <v>16.899999999999999</v>
      </c>
      <c r="Q6" s="156" cm="1">
        <f t="array" ref="Q6">INDEX($N$3:$T$5,$M$6,Q2)</f>
        <v>6.4000000000000003E-3</v>
      </c>
      <c r="R6" s="156" cm="1">
        <f t="array" ref="R6">INDEX($N$3:$T$5,$M$6,R2)</f>
        <v>0.20599999999999999</v>
      </c>
      <c r="S6" s="156" cm="1">
        <f t="array" ref="S6">INDEX($N$3:$T$5,$M$6,S2)</f>
        <v>336</v>
      </c>
      <c r="T6" s="157" t="str" cm="1">
        <f t="array" ref="T6">INDEX($N$3:$T$5,$M$6,T2)</f>
        <v>Tulip</v>
      </c>
      <c r="U6" s="157" cm="1">
        <f t="array" ref="U6">INDEX($N$3:$U$5,$M$6,U2)</f>
        <v>170.58</v>
      </c>
    </row>
    <row r="7" spans="1:21" ht="15.75" thickBot="1">
      <c r="A7" s="19">
        <f>Principal!E15</f>
        <v>3.310966626228661</v>
      </c>
      <c r="B7" s="19">
        <f>Principal!H17</f>
        <v>1.7</v>
      </c>
      <c r="C7" s="19">
        <f>Principal!F19</f>
        <v>3.310966626228661</v>
      </c>
      <c r="D7" s="21">
        <f>(A7*B7*C7)^(1/3)</f>
        <v>2.6512631927148687</v>
      </c>
      <c r="E7" s="23">
        <f>Principal!G26*0.000000001/(36*PI())</f>
        <v>8.8419412828830754E-12</v>
      </c>
      <c r="F7" s="98">
        <f>Principal!H26</f>
        <v>0</v>
      </c>
      <c r="G7" s="106" t="s">
        <v>314</v>
      </c>
      <c r="H7" s="105">
        <f>IF($H$50=0,H4,INDEX($H$4:$I$6,I2,1))</f>
        <v>1.6899999999999998E-2</v>
      </c>
      <c r="I7" s="105" cm="1">
        <f t="array" ref="I7">IF(H50=0,I4,INDEX($H$4:$I$6,I2,2))</f>
        <v>6.4000000000000003E-3</v>
      </c>
      <c r="J7" s="109">
        <f>INDEX($H$4:$J$6,I2,3)</f>
        <v>0.20599999999999999</v>
      </c>
    </row>
    <row r="8" spans="1:21">
      <c r="A8" s="398" t="s">
        <v>184</v>
      </c>
      <c r="B8" s="398"/>
      <c r="C8" s="398"/>
      <c r="D8" s="398"/>
      <c r="E8" s="398"/>
      <c r="F8" s="398"/>
      <c r="G8" s="195" t="s">
        <v>425</v>
      </c>
      <c r="H8" s="69" t="s">
        <v>257</v>
      </c>
    </row>
    <row r="9" spans="1:21" ht="18">
      <c r="A9" s="5" t="s">
        <v>175</v>
      </c>
      <c r="B9" s="5" t="s">
        <v>187</v>
      </c>
      <c r="C9" s="5" t="s">
        <v>186</v>
      </c>
      <c r="D9" s="5" t="s">
        <v>188</v>
      </c>
      <c r="E9" s="22" t="s">
        <v>189</v>
      </c>
      <c r="F9" s="22" t="s">
        <v>298</v>
      </c>
      <c r="G9" s="70">
        <f>IF(Principal!Q8="",1,Principal!Q8)</f>
        <v>1</v>
      </c>
      <c r="H9" s="70">
        <f>IF(G1=1,DEGREES(ACOS(G9)),-DEGREES(ACOS(-G9)))</f>
        <v>0</v>
      </c>
    </row>
    <row r="10" spans="1:21" ht="15.75" thickBot="1">
      <c r="A10" s="24">
        <f>J7</f>
        <v>0.20599999999999999</v>
      </c>
      <c r="B10" s="138">
        <f>0.0000002*LN(D7/I7)*1000</f>
        <v>1.2052986983073337E-3</v>
      </c>
      <c r="C10" s="77">
        <f>D10*F7/E7</f>
        <v>0</v>
      </c>
      <c r="D10" s="41">
        <f>2*PI()*E7/(LN(2*D7/H7))*1000</f>
        <v>9.6641466722627863E-9</v>
      </c>
      <c r="E10" s="31">
        <f>Principal!M9</f>
        <v>60</v>
      </c>
      <c r="F10" s="44">
        <f>2*PI()*E10</f>
        <v>376.99111843077515</v>
      </c>
    </row>
    <row r="11" spans="1:21" ht="18">
      <c r="A11" s="46" t="s">
        <v>197</v>
      </c>
      <c r="B11" s="47" t="s">
        <v>209</v>
      </c>
      <c r="C11" s="384" t="s">
        <v>210</v>
      </c>
      <c r="D11" s="411"/>
      <c r="E11" s="416" t="s">
        <v>211</v>
      </c>
      <c r="F11" s="417"/>
    </row>
    <row r="12" spans="1:21">
      <c r="A12" s="26">
        <f>Principal!O16</f>
        <v>100</v>
      </c>
      <c r="B12" s="48">
        <f>Principal!M8</f>
        <v>0</v>
      </c>
      <c r="C12" s="42">
        <f>IF(Principal!M7=0,0,Principal!M7*1000/3^0.5)</f>
        <v>0</v>
      </c>
      <c r="D12" s="43">
        <f>Principal!N7*PI()/180</f>
        <v>0</v>
      </c>
      <c r="E12" s="45"/>
      <c r="F12" s="112"/>
      <c r="G12" s="181" t="s">
        <v>308</v>
      </c>
      <c r="H12" s="181">
        <f>2*PI()*E7/LN(2*D7/H7)</f>
        <v>9.6641466722627857E-12</v>
      </c>
      <c r="I12" s="111"/>
    </row>
    <row r="13" spans="1:21">
      <c r="A13" s="161"/>
      <c r="B13" s="49"/>
      <c r="C13" s="418" t="str">
        <f>COMPLEX(C12*COS(D12),C12*SIN(D12))</f>
        <v>0</v>
      </c>
      <c r="D13" s="419"/>
      <c r="E13" s="418"/>
      <c r="F13" s="420"/>
      <c r="G13" s="181" t="s">
        <v>306</v>
      </c>
      <c r="H13" s="181">
        <f>H12*C16</f>
        <v>4.0173103315576409E-7</v>
      </c>
      <c r="I13" s="111"/>
    </row>
    <row r="14" spans="1:21" ht="15.75" thickBot="1">
      <c r="A14" s="161"/>
      <c r="B14" s="50">
        <f>IMREAL(IMPRODUCT(C13,IMCONJUGATE(E14)))</f>
        <v>0</v>
      </c>
      <c r="C14" s="460" t="str">
        <f>IMPRODUCT(E13,A21)</f>
        <v>0</v>
      </c>
      <c r="D14" s="461"/>
      <c r="E14" s="460" t="str">
        <f>IMDIV(C13,A21)</f>
        <v>0</v>
      </c>
      <c r="F14" s="462"/>
      <c r="G14" s="181" t="s">
        <v>307</v>
      </c>
      <c r="H14" s="181">
        <f>H13/(2*PI()*E7*H7/2)</f>
        <v>855758.41382292949</v>
      </c>
    </row>
    <row r="15" spans="1:21" ht="18">
      <c r="A15" s="33" t="s">
        <v>258</v>
      </c>
      <c r="B15" s="67" t="s">
        <v>259</v>
      </c>
      <c r="C15" s="384" t="s">
        <v>199</v>
      </c>
      <c r="D15" s="411"/>
      <c r="E15" s="421" t="s">
        <v>200</v>
      </c>
      <c r="F15" s="422"/>
      <c r="G15" s="181" t="s">
        <v>328</v>
      </c>
      <c r="H15" s="181">
        <f>H14*0.00001</f>
        <v>8.557584138229295</v>
      </c>
    </row>
    <row r="16" spans="1:21">
      <c r="A16" s="32">
        <f>Principal!$Q$7*COS(H9*PI()/180)*1000</f>
        <v>1000000</v>
      </c>
      <c r="B16" s="72">
        <f>Principal!$Q$7*SIN(H9*PI()/180)*1000</f>
        <v>0</v>
      </c>
      <c r="C16" s="73">
        <f>Principal!Q5*1000/3^0.5</f>
        <v>41569.219381653056</v>
      </c>
      <c r="D16" s="40">
        <f>Principal!R5*PI()/180</f>
        <v>0</v>
      </c>
      <c r="E16" s="71">
        <f>Principal!Q6</f>
        <v>335</v>
      </c>
      <c r="F16" s="196">
        <f>Principal!R6*PI()/180</f>
        <v>0</v>
      </c>
      <c r="G16" s="181" t="s">
        <v>329</v>
      </c>
      <c r="H16" s="197">
        <f>F10/D30*1000</f>
        <v>286079326.07175392</v>
      </c>
    </row>
    <row r="17" spans="1:9" ht="18.75" thickBot="1">
      <c r="A17" s="463" t="str">
        <f>COMPLEX(A16,B16)</f>
        <v>1000000</v>
      </c>
      <c r="B17" s="464"/>
      <c r="C17" s="465" t="str">
        <f>COMPLEX(C16*COS(D16),C16*SIN(D16))</f>
        <v>41569,2193816531</v>
      </c>
      <c r="D17" s="466"/>
      <c r="E17" s="467" t="str">
        <f>COMPLEX(E16*COS(F16),E16*SIN(F16))</f>
        <v>335</v>
      </c>
      <c r="F17" s="420"/>
      <c r="G17" s="181" t="s">
        <v>335</v>
      </c>
      <c r="H17" s="197">
        <f>1/(B10*0.001*D10*0.001)^0.5</f>
        <v>293002212.60309428</v>
      </c>
    </row>
    <row r="18" spans="1:9" ht="18" customHeight="1">
      <c r="A18" s="384" t="s">
        <v>208</v>
      </c>
      <c r="B18" s="330"/>
      <c r="C18" s="457" t="str">
        <f>IMCONJUGATE(IMDIV(A17,3*C17))</f>
        <v>8,01875373874479</v>
      </c>
      <c r="D18" s="458"/>
      <c r="E18" s="427" t="str">
        <f>IF(C16=0,0,IF(A16=0,0,IMDIV(C17,A19)))</f>
        <v>5184,00000000001</v>
      </c>
      <c r="F18" s="428"/>
      <c r="G18" s="198" t="s">
        <v>334</v>
      </c>
      <c r="H18" s="199">
        <f>H16/60/1000</f>
        <v>4767.9887678625646</v>
      </c>
    </row>
    <row r="19" spans="1:9" ht="18.75" thickBot="1">
      <c r="A19" s="425" t="str">
        <f>IF(C16=0,0,IF(A16=0,C19,C18))</f>
        <v>8,01875373874479</v>
      </c>
      <c r="B19" s="426"/>
      <c r="C19" s="439" t="str">
        <f>IMDIV(C17,E19)</f>
        <v>124,087222034785</v>
      </c>
      <c r="D19" s="459"/>
      <c r="E19" s="468" t="str">
        <f>IF(E16&gt;0,E17,IF(IMABS(E18)&gt;0,E18,1000000000))</f>
        <v>335</v>
      </c>
      <c r="F19" s="469"/>
      <c r="G19" s="198" t="s">
        <v>336</v>
      </c>
      <c r="H19" s="199">
        <f>H17/60/1000</f>
        <v>4883.3702100515711</v>
      </c>
    </row>
    <row r="20" spans="1:9" ht="18">
      <c r="A20" s="423" t="s">
        <v>198</v>
      </c>
      <c r="B20" s="424"/>
      <c r="C20" s="429" t="s">
        <v>213</v>
      </c>
      <c r="D20" s="429"/>
      <c r="E20" s="429" t="s">
        <v>214</v>
      </c>
      <c r="F20" s="430"/>
    </row>
    <row r="21" spans="1:9">
      <c r="A21" s="413" t="str">
        <f>IMDIV(IMPRODUCT(A28,C23),E23)</f>
        <v>1151,63449206418-2131,29765062068i</v>
      </c>
      <c r="B21" s="414"/>
      <c r="C21" s="444" t="str">
        <f>IMPRODUCT(A28,E32)</f>
        <v>20,829470399976+45,6385299614292i</v>
      </c>
      <c r="D21" s="444"/>
      <c r="E21" s="444" t="str">
        <f>IMPRODUCT(G36,E32)</f>
        <v>150,173172583081+686,555242370439i</v>
      </c>
      <c r="F21" s="445"/>
      <c r="G21" s="474" t="s">
        <v>323</v>
      </c>
      <c r="H21" s="380"/>
    </row>
    <row r="22" spans="1:9" ht="18">
      <c r="A22" s="57">
        <f>IMABS(A21)</f>
        <v>2422.5382719067934</v>
      </c>
      <c r="B22" s="56">
        <f>IMARGUMENT(A21)*180/PI()</f>
        <v>-61.615683587176093</v>
      </c>
      <c r="C22" s="408" t="s">
        <v>215</v>
      </c>
      <c r="D22" s="380"/>
      <c r="E22" s="408" t="s">
        <v>216</v>
      </c>
      <c r="F22" s="410"/>
      <c r="G22" s="432" t="str">
        <f>IMPRODUCT(E28,A12)</f>
        <v>0,028476539440713+0,131778525770233i</v>
      </c>
      <c r="H22" s="432"/>
    </row>
    <row r="23" spans="1:9" ht="15.75" thickBot="1">
      <c r="A23" s="58"/>
      <c r="B23" s="59"/>
      <c r="C23" s="438" t="str">
        <f>IMSUM(G36,C21)</f>
        <v>5204,82947039999+45,6385299614292i</v>
      </c>
      <c r="D23" s="439"/>
      <c r="E23" s="438" t="str">
        <f>IMSUM(A28,E21)</f>
        <v>511,874425695109+608,393797326207i</v>
      </c>
      <c r="F23" s="440"/>
      <c r="G23" s="474" t="s">
        <v>324</v>
      </c>
      <c r="H23" s="380"/>
    </row>
    <row r="24" spans="1:9" ht="15.75" thickBot="1">
      <c r="A24" s="29"/>
      <c r="B24" s="29"/>
      <c r="C24" s="30"/>
      <c r="D24" s="30"/>
      <c r="E24" s="30"/>
      <c r="F24" s="30"/>
      <c r="G24" s="432" t="str">
        <f>IMDIV(G22,2)</f>
        <v>0,0142382697203565+0,0658892628851165i</v>
      </c>
      <c r="H24" s="432"/>
    </row>
    <row r="25" spans="1:9" ht="18.75">
      <c r="A25" s="402" t="s">
        <v>191</v>
      </c>
      <c r="B25" s="431"/>
      <c r="C25" s="431" t="s">
        <v>190</v>
      </c>
      <c r="D25" s="431"/>
      <c r="E25" s="431" t="s">
        <v>192</v>
      </c>
      <c r="F25" s="422"/>
      <c r="G25" s="433" t="s">
        <v>325</v>
      </c>
      <c r="H25" s="433"/>
    </row>
    <row r="26" spans="1:9">
      <c r="A26" s="413" t="str">
        <f>COMPLEX(A10,B10*F10)</f>
        <v>0,206+0,454386904318039i</v>
      </c>
      <c r="B26" s="414"/>
      <c r="C26" s="414" t="str">
        <f>COMPLEX(C10,D10*F10)</f>
        <v>0,0000036432974626554i</v>
      </c>
      <c r="D26" s="414"/>
      <c r="E26" s="414" t="str">
        <f>IMDIV(A26,C26)</f>
        <v>124718,585011409-56542,1852350914i</v>
      </c>
      <c r="F26" s="453"/>
      <c r="G26" s="451" t="str">
        <f>IMDIV(_xlfn.IMSINH(G24),_xlfn.IMCOSH(G24))</f>
        <v>0,0142992841220802+0,0659713457966151i</v>
      </c>
      <c r="H26" s="451"/>
    </row>
    <row r="27" spans="1:9" ht="18.75">
      <c r="A27" s="412" t="s">
        <v>193</v>
      </c>
      <c r="B27" s="380"/>
      <c r="C27" s="447" t="s">
        <v>194</v>
      </c>
      <c r="D27" s="380"/>
      <c r="E27" s="447" t="s">
        <v>195</v>
      </c>
      <c r="F27" s="381"/>
      <c r="I27">
        <f>D30/C30</f>
        <v>4.6276172722668978</v>
      </c>
    </row>
    <row r="28" spans="1:9">
      <c r="A28" s="413" t="str">
        <f>IMSQRT(E26)</f>
        <v>361,701253112028-78,1614450442322i</v>
      </c>
      <c r="B28" s="446"/>
      <c r="C28" s="414" t="str">
        <f>IMPRODUCT(A26,C26)</f>
        <v>-1,65546665556575E-06+7,50519277307012E-07i</v>
      </c>
      <c r="D28" s="414"/>
      <c r="E28" s="414" t="str">
        <f>IMSQRT(C28)</f>
        <v>0,00028476539440713+0,00131778525770233i</v>
      </c>
      <c r="F28" s="441"/>
    </row>
    <row r="29" spans="1:9" ht="18">
      <c r="A29" s="412" t="s">
        <v>196</v>
      </c>
      <c r="B29" s="380"/>
      <c r="C29" s="60" t="s">
        <v>204</v>
      </c>
      <c r="D29" s="28" t="s">
        <v>205</v>
      </c>
      <c r="E29" s="27" t="s">
        <v>201</v>
      </c>
      <c r="F29" s="86" t="s">
        <v>202</v>
      </c>
      <c r="G29" s="433" t="s">
        <v>291</v>
      </c>
      <c r="H29" s="433"/>
    </row>
    <row r="30" spans="1:9">
      <c r="A30" s="413">
        <f>(B10/D10)^0.5</f>
        <v>353.15518545167816</v>
      </c>
      <c r="B30" s="414"/>
      <c r="C30" s="25">
        <f>IMREAL(E28)</f>
        <v>2.8476539440712998E-4</v>
      </c>
      <c r="D30" s="25">
        <f>IMAGINARY(E28)</f>
        <v>1.3177852577023301E-3</v>
      </c>
      <c r="E30" s="25">
        <f>C30*A12</f>
        <v>2.8476539440712996E-2</v>
      </c>
      <c r="F30" s="80">
        <f>D30*A12</f>
        <v>0.13177852577023302</v>
      </c>
      <c r="G30" s="338" t="str">
        <f>IF(C12=0,IMDIV(A38,A33),IMDIV(B46,A33))</f>
        <v>41736,245775299+365,964132759025i</v>
      </c>
      <c r="H30" s="338"/>
    </row>
    <row r="31" spans="1:9">
      <c r="A31" s="415" t="s">
        <v>203</v>
      </c>
      <c r="B31" s="380"/>
      <c r="C31" s="408" t="s">
        <v>206</v>
      </c>
      <c r="D31" s="380"/>
      <c r="E31" s="408" t="s">
        <v>207</v>
      </c>
      <c r="F31" s="410"/>
      <c r="G31" s="74" t="s">
        <v>291</v>
      </c>
      <c r="H31" s="85" t="s">
        <v>295</v>
      </c>
    </row>
    <row r="32" spans="1:9">
      <c r="A32" s="61">
        <f>COSH(E30)*COS(F30)</f>
        <v>0.99173173635033529</v>
      </c>
      <c r="B32" s="25">
        <f>SINH(E30)*SIN(F30)</f>
        <v>3.7422505365906408E-3</v>
      </c>
      <c r="C32" s="25">
        <f>SINH(E30)*COS(F30)</f>
        <v>2.8233456688830476E-2</v>
      </c>
      <c r="D32" s="80">
        <f>COSH(E30)*SIN(F30)</f>
        <v>0.13145073461653925</v>
      </c>
      <c r="E32" s="470" t="str">
        <f>IMDIV(C33,A33)</f>
        <v>0,0289685903902548+0,132437353852322i</v>
      </c>
      <c r="F32" s="471"/>
      <c r="G32" s="64">
        <f>IMABS(G30)</f>
        <v>41737.850222102119</v>
      </c>
      <c r="H32" s="64">
        <f>IMARGUMENT(G30)*180/PI()</f>
        <v>0.50238497748899325</v>
      </c>
    </row>
    <row r="33" spans="1:9" ht="15.75" thickBot="1">
      <c r="A33" s="406" t="str">
        <f>COMPLEX(A32,B32)</f>
        <v>0,991731736350335+0,00374225053659064i</v>
      </c>
      <c r="B33" s="407"/>
      <c r="C33" s="407" t="str">
        <f>COMPLEX(C32,D32)</f>
        <v>0,0282334566888305+0,131450734616539i</v>
      </c>
      <c r="D33" s="409"/>
      <c r="E33" s="472"/>
      <c r="F33" s="473"/>
      <c r="G33" s="74" t="s">
        <v>292</v>
      </c>
      <c r="H33" s="85" t="s">
        <v>295</v>
      </c>
    </row>
    <row r="34" spans="1:9">
      <c r="A34" s="391" t="s">
        <v>217</v>
      </c>
      <c r="B34" s="392"/>
      <c r="C34" s="392"/>
      <c r="D34" s="392"/>
      <c r="E34" s="442"/>
      <c r="F34" s="443"/>
      <c r="G34" s="87">
        <f>G32*3^0.5/1000</f>
        <v>72.292077183380812</v>
      </c>
      <c r="H34" s="87">
        <f>H32</f>
        <v>0.50238497748899325</v>
      </c>
    </row>
    <row r="35" spans="1:9" ht="18" customHeight="1">
      <c r="A35" s="395" t="s">
        <v>199</v>
      </c>
      <c r="B35" s="397" t="str">
        <f>C17</f>
        <v>41569,2193816531</v>
      </c>
      <c r="C35" s="398"/>
      <c r="D35" s="399" t="s">
        <v>208</v>
      </c>
      <c r="E35" s="397" t="str">
        <f>A19</f>
        <v>8,01875373874479</v>
      </c>
      <c r="F35" s="456"/>
      <c r="G35" s="434" t="s">
        <v>288</v>
      </c>
      <c r="H35" s="435"/>
    </row>
    <row r="36" spans="1:9" ht="15.75" thickBot="1">
      <c r="A36" s="396"/>
      <c r="B36" s="62">
        <f>IMABS(B35)*3^0.5/1000</f>
        <v>72.000000000000071</v>
      </c>
      <c r="C36" s="62">
        <f>IMARGUMENT(B35)*180/PI()</f>
        <v>0</v>
      </c>
      <c r="D36" s="400"/>
      <c r="E36" s="62">
        <f>IMABS(E35)</f>
        <v>8.01875373874479</v>
      </c>
      <c r="F36" s="82">
        <f>IMARGUMENT(E35)*180/PI()</f>
        <v>0</v>
      </c>
      <c r="G36" s="436" t="str">
        <f>IF(B36=0,E17,IMDIV(B35,E35))</f>
        <v>5184,00000000001</v>
      </c>
      <c r="H36" s="437"/>
    </row>
    <row r="37" spans="1:9" ht="18">
      <c r="A37" s="396" t="s">
        <v>220</v>
      </c>
      <c r="B37" s="400"/>
      <c r="C37" s="429" t="s">
        <v>218</v>
      </c>
      <c r="D37" s="429"/>
      <c r="E37" s="429" t="s">
        <v>219</v>
      </c>
      <c r="F37" s="452"/>
      <c r="G37" s="33" t="s">
        <v>289</v>
      </c>
      <c r="H37" s="34" t="s">
        <v>221</v>
      </c>
    </row>
    <row r="38" spans="1:9" ht="15.75" thickBot="1">
      <c r="A38" s="394" t="str">
        <f>IMSUM(C38,E38)</f>
        <v>41389,7899620094+519,125732970944i</v>
      </c>
      <c r="B38" s="382"/>
      <c r="C38" s="382" t="str">
        <f>IMPRODUCT(A33,B35)</f>
        <v>41225,5141160948+155,562433536645i</v>
      </c>
      <c r="D38" s="382"/>
      <c r="E38" s="382" t="str">
        <f>IMPRODUCT(C33,E35,A28)</f>
        <v>164,275845914574+363,563299434299i</v>
      </c>
      <c r="F38" s="450"/>
      <c r="G38" s="83">
        <f>IF(C12=0,IMABS(A38),IMABS(B46))</f>
        <v>41393.045365446196</v>
      </c>
      <c r="H38" s="84">
        <f>IF(C12=0,IMARGUMENT(A38),IMARGUMENT(B46))*180/PI()</f>
        <v>0.71858673457330546</v>
      </c>
    </row>
    <row r="39" spans="1:9" ht="18">
      <c r="A39" s="384" t="s">
        <v>211</v>
      </c>
      <c r="B39" s="330"/>
      <c r="C39" s="385" t="s">
        <v>218</v>
      </c>
      <c r="D39" s="385"/>
      <c r="E39" s="385" t="s">
        <v>219</v>
      </c>
      <c r="F39" s="386"/>
    </row>
    <row r="40" spans="1:9" ht="15.75" thickBot="1">
      <c r="A40" s="387" t="str">
        <f>IMDIV(IMSUM(C40,E40),A28)</f>
        <v>7,93353967669723+15,1331523387981i</v>
      </c>
      <c r="B40" s="388"/>
      <c r="C40" s="382" t="str">
        <f>IMPRODUCT(C33,B35)</f>
        <v>1173,6427550004+5464,30442515437i</v>
      </c>
      <c r="D40" s="382"/>
      <c r="E40" s="389" t="str">
        <f>IMPRODUCT(A33,E35,A28)</f>
        <v>2878,75754254994-610,721186122298i</v>
      </c>
      <c r="F40" s="390"/>
    </row>
    <row r="41" spans="1:9" ht="18">
      <c r="A41" s="33" t="s">
        <v>223</v>
      </c>
      <c r="B41" s="34" t="s">
        <v>295</v>
      </c>
      <c r="C41" s="33" t="s">
        <v>224</v>
      </c>
      <c r="D41" s="37" t="s">
        <v>295</v>
      </c>
      <c r="E41" s="402" t="s">
        <v>222</v>
      </c>
      <c r="F41" s="403"/>
      <c r="G41" t="s">
        <v>296</v>
      </c>
    </row>
    <row r="42" spans="1:9" ht="15.75" thickBot="1">
      <c r="A42" s="78">
        <f>IMABS(A38)*3^0.5/1000</f>
        <v>71.694857652956259</v>
      </c>
      <c r="B42" s="36">
        <f>IMARGUMENT(A38)*180/PI()</f>
        <v>0.71858673457330546</v>
      </c>
      <c r="C42" s="35">
        <f>IMABS(A40)</f>
        <v>17.086642487949455</v>
      </c>
      <c r="D42" s="38">
        <f>IMARGUMENT(A40)*180/PI()</f>
        <v>62.334270321749266</v>
      </c>
      <c r="E42" s="394" t="str">
        <f>IMPRODUCT(3,A38,IMCONJUGATE(A40))</f>
        <v>1008670,64902142-1866718,47649868i</v>
      </c>
      <c r="F42" s="383"/>
      <c r="G42">
        <f>A44*COS(B44*PI()/180)</f>
        <v>1008.67064902142</v>
      </c>
    </row>
    <row r="43" spans="1:9" ht="18">
      <c r="A43" s="33" t="s">
        <v>242</v>
      </c>
      <c r="B43" s="34" t="s">
        <v>221</v>
      </c>
      <c r="C43" s="396" t="s">
        <v>245</v>
      </c>
      <c r="D43" s="400"/>
      <c r="E43" s="33" t="s">
        <v>237</v>
      </c>
      <c r="F43" s="34" t="s">
        <v>221</v>
      </c>
      <c r="G43" t="s">
        <v>297</v>
      </c>
    </row>
    <row r="44" spans="1:9" ht="15.75" thickBot="1">
      <c r="A44" s="39">
        <f>IMABS(E42)/1000</f>
        <v>2121.8045029405621</v>
      </c>
      <c r="B44" s="36">
        <f>IMARGUMENT(E42)*180/PI()</f>
        <v>-61.615683587175965</v>
      </c>
      <c r="C44" s="394" t="str">
        <f>IMPRODUCT(3,B35,IMCONJUGATE(E35))</f>
        <v>1000000</v>
      </c>
      <c r="D44" s="382"/>
      <c r="E44" s="52">
        <f>IMABS(C44)/1000</f>
        <v>1000</v>
      </c>
      <c r="F44" s="36">
        <f>IMARGUMENT(C44)*180/PI()</f>
        <v>0</v>
      </c>
      <c r="G44" s="88">
        <f>G42-A16/1000</f>
        <v>8.6706490214199903</v>
      </c>
    </row>
    <row r="45" spans="1:9">
      <c r="A45" s="391" t="s">
        <v>227</v>
      </c>
      <c r="B45" s="392"/>
      <c r="C45" s="392"/>
      <c r="D45" s="392"/>
      <c r="E45" s="392"/>
      <c r="F45" s="393"/>
      <c r="G45">
        <f>G44/A16*1000*100</f>
        <v>0.86706490214199894</v>
      </c>
    </row>
    <row r="46" spans="1:9">
      <c r="A46" s="395" t="s">
        <v>220</v>
      </c>
      <c r="B46" s="397" t="str">
        <f>C13</f>
        <v>0</v>
      </c>
      <c r="C46" s="398"/>
      <c r="D46" s="399" t="s">
        <v>211</v>
      </c>
      <c r="E46" s="397" t="str">
        <f>E14</f>
        <v>0</v>
      </c>
      <c r="F46" s="401"/>
    </row>
    <row r="47" spans="1:9" ht="15.75" thickBot="1">
      <c r="A47" s="396"/>
      <c r="B47" s="62">
        <f>IMABS(B46)*3^0.5/1000</f>
        <v>0</v>
      </c>
      <c r="C47" s="62" t="e">
        <f>IMARGUMENT(B46)*180/PI()</f>
        <v>#DIV/0!</v>
      </c>
      <c r="D47" s="400"/>
      <c r="E47" s="62">
        <f>IMABS(E46)</f>
        <v>0</v>
      </c>
      <c r="F47" s="63" t="e">
        <f>IMARGUMENT(E46)*180/PI()</f>
        <v>#DIV/0!</v>
      </c>
      <c r="G47" s="290" t="s">
        <v>312</v>
      </c>
      <c r="H47" s="290">
        <v>2</v>
      </c>
      <c r="I47" s="290">
        <v>4</v>
      </c>
    </row>
    <row r="48" spans="1:9" ht="18">
      <c r="A48" s="384" t="s">
        <v>230</v>
      </c>
      <c r="B48" s="330"/>
      <c r="C48" s="385" t="s">
        <v>228</v>
      </c>
      <c r="D48" s="385"/>
      <c r="E48" s="385" t="s">
        <v>229</v>
      </c>
      <c r="F48" s="386"/>
      <c r="G48" s="290" t="s">
        <v>439</v>
      </c>
      <c r="H48" s="290">
        <f>D4</f>
        <v>1.6899999999999998E-2</v>
      </c>
      <c r="I48" s="290"/>
    </row>
    <row r="49" spans="1:9" ht="15.75" thickBot="1">
      <c r="A49" s="394" t="str">
        <f>IMSUM(C49,E49)</f>
        <v>0</v>
      </c>
      <c r="B49" s="382"/>
      <c r="C49" s="382" t="str">
        <f>IMPRODUCT(A33,B46)</f>
        <v>0</v>
      </c>
      <c r="D49" s="382"/>
      <c r="E49" s="382" t="str">
        <f>IMPRODUCT(C33,E46,A28,-1)</f>
        <v>0</v>
      </c>
      <c r="F49" s="383"/>
      <c r="G49" s="290" t="s">
        <v>311</v>
      </c>
      <c r="H49" s="290">
        <f>E4</f>
        <v>6.4000000000000003E-3</v>
      </c>
      <c r="I49" s="290"/>
    </row>
    <row r="50" spans="1:9" ht="18">
      <c r="A50" s="384" t="s">
        <v>208</v>
      </c>
      <c r="B50" s="330"/>
      <c r="C50" s="385" t="s">
        <v>231</v>
      </c>
      <c r="D50" s="385"/>
      <c r="E50" s="385" t="s">
        <v>232</v>
      </c>
      <c r="F50" s="386"/>
      <c r="G50" s="290" t="s">
        <v>299</v>
      </c>
      <c r="H50" s="290">
        <f>Principal!E23/100</f>
        <v>0</v>
      </c>
      <c r="I50" s="290"/>
    </row>
    <row r="51" spans="1:9" ht="15.75" thickBot="1">
      <c r="A51" s="387" t="str">
        <f>IMDIV(IMSUM(C51,E51),A28)</f>
        <v>0</v>
      </c>
      <c r="B51" s="388"/>
      <c r="C51" s="382" t="str">
        <f>IMPRODUCT(A33,E46,A28)</f>
        <v>0</v>
      </c>
      <c r="D51" s="382"/>
      <c r="E51" s="389" t="str">
        <f>IMPRODUCT(C33,-1,B46)</f>
        <v>0</v>
      </c>
      <c r="F51" s="390"/>
      <c r="G51" s="290" t="s">
        <v>440</v>
      </c>
      <c r="H51" s="290">
        <f>(H48/2*H50)^0.5</f>
        <v>0</v>
      </c>
      <c r="I51" s="291">
        <f>(H48/2*H50^3*2^0.5)^0.25</f>
        <v>0</v>
      </c>
    </row>
    <row r="52" spans="1:9" ht="18">
      <c r="A52" s="33" t="s">
        <v>249</v>
      </c>
      <c r="B52" s="34" t="s">
        <v>221</v>
      </c>
      <c r="C52" s="33" t="s">
        <v>239</v>
      </c>
      <c r="D52" s="37" t="s">
        <v>221</v>
      </c>
      <c r="E52" s="380" t="s">
        <v>236</v>
      </c>
      <c r="F52" s="381"/>
      <c r="G52" s="290" t="s">
        <v>313</v>
      </c>
      <c r="H52" s="290">
        <f>(H49*H50)^0.5</f>
        <v>0</v>
      </c>
      <c r="I52" s="291">
        <f>(H49*H50^3*2^0.5)^0.25</f>
        <v>0</v>
      </c>
    </row>
    <row r="53" spans="1:9" ht="15.75" thickBot="1">
      <c r="A53" s="35">
        <f>IMABS(A49)*3^0.5/1000</f>
        <v>0</v>
      </c>
      <c r="B53" s="36" t="e">
        <f>IMARGUMENT(A49)*180/PI()</f>
        <v>#DIV/0!</v>
      </c>
      <c r="C53" s="51">
        <f>IMABS(A51)</f>
        <v>0</v>
      </c>
      <c r="D53" s="38" t="e">
        <f>IMARGUMENT(A51)*180/PI()</f>
        <v>#DIV/0!</v>
      </c>
      <c r="E53" s="382" t="str">
        <f>IMPRODUCT(3,A49,IMCONJUGATE(A51))</f>
        <v>0</v>
      </c>
      <c r="F53" s="383"/>
    </row>
    <row r="54" spans="1:9" ht="18">
      <c r="A54" s="33" t="s">
        <v>244</v>
      </c>
      <c r="B54" s="34" t="s">
        <v>221</v>
      </c>
      <c r="C54" s="397" t="s">
        <v>243</v>
      </c>
      <c r="D54" s="398"/>
      <c r="E54" s="33" t="s">
        <v>242</v>
      </c>
      <c r="F54" s="34" t="s">
        <v>221</v>
      </c>
    </row>
    <row r="55" spans="1:9" ht="15.75" thickBot="1">
      <c r="A55" s="52">
        <f>IMABS(E53)/1000</f>
        <v>0</v>
      </c>
      <c r="B55" s="289" t="e">
        <f>IMARGUMENT(E53)*180/PI()</f>
        <v>#DIV/0!</v>
      </c>
      <c r="C55" s="448" t="str">
        <f>IMPRODUCT(3,B46,IMCONJUGATE(E46))</f>
        <v>0</v>
      </c>
      <c r="D55" s="449"/>
      <c r="E55" s="39">
        <f>IMABS(C55)/1000</f>
        <v>0</v>
      </c>
      <c r="F55" s="36" t="e">
        <f>IMARGUMENT(C55)*180/PI()</f>
        <v>#DIV/0!</v>
      </c>
    </row>
    <row r="62" spans="1:9">
      <c r="C62" s="79"/>
    </row>
  </sheetData>
  <mergeCells count="107">
    <mergeCell ref="J1:J2"/>
    <mergeCell ref="A2:F2"/>
    <mergeCell ref="A5:D5"/>
    <mergeCell ref="E5:F5"/>
    <mergeCell ref="B35:C35"/>
    <mergeCell ref="E35:F35"/>
    <mergeCell ref="A35:A36"/>
    <mergeCell ref="D35:D36"/>
    <mergeCell ref="C18:D18"/>
    <mergeCell ref="C19:D19"/>
    <mergeCell ref="A8:F8"/>
    <mergeCell ref="A25:B25"/>
    <mergeCell ref="C25:D25"/>
    <mergeCell ref="C14:D14"/>
    <mergeCell ref="E14:F14"/>
    <mergeCell ref="A21:B21"/>
    <mergeCell ref="A17:B17"/>
    <mergeCell ref="C17:D17"/>
    <mergeCell ref="E17:F17"/>
    <mergeCell ref="E19:F19"/>
    <mergeCell ref="E32:F33"/>
    <mergeCell ref="G21:H21"/>
    <mergeCell ref="G22:H22"/>
    <mergeCell ref="G23:H23"/>
    <mergeCell ref="C54:D54"/>
    <mergeCell ref="C55:D55"/>
    <mergeCell ref="C43:D43"/>
    <mergeCell ref="C44:D44"/>
    <mergeCell ref="A38:B38"/>
    <mergeCell ref="C38:D38"/>
    <mergeCell ref="E38:F38"/>
    <mergeCell ref="G26:H26"/>
    <mergeCell ref="A37:B37"/>
    <mergeCell ref="E37:F37"/>
    <mergeCell ref="C37:D37"/>
    <mergeCell ref="A39:B39"/>
    <mergeCell ref="C39:D39"/>
    <mergeCell ref="E39:F39"/>
    <mergeCell ref="C40:D40"/>
    <mergeCell ref="E40:F40"/>
    <mergeCell ref="E26:F26"/>
    <mergeCell ref="G24:H24"/>
    <mergeCell ref="G25:H25"/>
    <mergeCell ref="G35:H35"/>
    <mergeCell ref="G36:H36"/>
    <mergeCell ref="G29:H29"/>
    <mergeCell ref="C20:D20"/>
    <mergeCell ref="C23:D23"/>
    <mergeCell ref="E23:F23"/>
    <mergeCell ref="E28:F28"/>
    <mergeCell ref="A34:F34"/>
    <mergeCell ref="C21:D21"/>
    <mergeCell ref="E21:F21"/>
    <mergeCell ref="C22:D22"/>
    <mergeCell ref="A28:B28"/>
    <mergeCell ref="C27:D27"/>
    <mergeCell ref="C28:D28"/>
    <mergeCell ref="E27:F27"/>
    <mergeCell ref="G30:H30"/>
    <mergeCell ref="A27:B27"/>
    <mergeCell ref="A1:F1"/>
    <mergeCell ref="A33:B33"/>
    <mergeCell ref="C31:D31"/>
    <mergeCell ref="C33:D33"/>
    <mergeCell ref="E31:F31"/>
    <mergeCell ref="C15:D15"/>
    <mergeCell ref="A18:B18"/>
    <mergeCell ref="A29:B29"/>
    <mergeCell ref="A30:B30"/>
    <mergeCell ref="A31:B31"/>
    <mergeCell ref="E11:F11"/>
    <mergeCell ref="C11:D11"/>
    <mergeCell ref="C13:D13"/>
    <mergeCell ref="E13:F13"/>
    <mergeCell ref="E22:F22"/>
    <mergeCell ref="E15:F15"/>
    <mergeCell ref="A20:B20"/>
    <mergeCell ref="A19:B19"/>
    <mergeCell ref="E18:F18"/>
    <mergeCell ref="E20:F20"/>
    <mergeCell ref="A26:B26"/>
    <mergeCell ref="C26:D26"/>
    <mergeCell ref="E25:F25"/>
    <mergeCell ref="L1:M2"/>
    <mergeCell ref="G1:G2"/>
    <mergeCell ref="E52:F52"/>
    <mergeCell ref="E53:F53"/>
    <mergeCell ref="A50:B50"/>
    <mergeCell ref="C50:D50"/>
    <mergeCell ref="E50:F50"/>
    <mergeCell ref="A51:B51"/>
    <mergeCell ref="C51:D51"/>
    <mergeCell ref="E51:F51"/>
    <mergeCell ref="A45:F45"/>
    <mergeCell ref="A48:B48"/>
    <mergeCell ref="C48:D48"/>
    <mergeCell ref="E48:F48"/>
    <mergeCell ref="A49:B49"/>
    <mergeCell ref="C49:D49"/>
    <mergeCell ref="E49:F49"/>
    <mergeCell ref="A46:A47"/>
    <mergeCell ref="B46:C46"/>
    <mergeCell ref="D46:D47"/>
    <mergeCell ref="E46:F46"/>
    <mergeCell ref="A40:B40"/>
    <mergeCell ref="E41:F41"/>
    <mergeCell ref="E42:F42"/>
  </mergeCells>
  <pageMargins left="0.511811024" right="0.511811024" top="0.78740157499999996" bottom="0.78740157499999996" header="0.31496062000000002" footer="0.31496062000000002"/>
  <pageSetup orientation="portrait" r:id="rId1"/>
  <ignoredErrors>
    <ignoredError sqref="U4" formula="1"/>
  </ignoredErrors>
  <drawing r:id="rId2"/>
  <legacyDrawing r:id="rId3"/>
  <oleObjects>
    <mc:AlternateContent xmlns:mc="http://schemas.openxmlformats.org/markup-compatibility/2006">
      <mc:Choice Requires="x14">
        <oleObject progId="Equation.3" shapeId="5125" r:id="rId4">
          <objectPr defaultSize="0" autoPict="0" r:id="rId5">
            <anchor moveWithCells="1" sizeWithCells="1">
              <from>
                <xdr:col>13</xdr:col>
                <xdr:colOff>428625</xdr:colOff>
                <xdr:row>17</xdr:row>
                <xdr:rowOff>19050</xdr:rowOff>
              </from>
              <to>
                <xdr:col>17</xdr:col>
                <xdr:colOff>438150</xdr:colOff>
                <xdr:row>19</xdr:row>
                <xdr:rowOff>161925</xdr:rowOff>
              </to>
            </anchor>
          </objectPr>
        </oleObject>
      </mc:Choice>
      <mc:Fallback>
        <oleObject progId="Equation.3" shapeId="5125" r:id="rId4"/>
      </mc:Fallback>
    </mc:AlternateContent>
    <mc:AlternateContent xmlns:mc="http://schemas.openxmlformats.org/markup-compatibility/2006">
      <mc:Choice Requires="x14">
        <oleObject progId="Equation.3" shapeId="5126" r:id="rId6">
          <objectPr defaultSize="0" autoPict="0" r:id="rId7">
            <anchor moveWithCells="1" sizeWithCells="1">
              <from>
                <xdr:col>18</xdr:col>
                <xdr:colOff>523875</xdr:colOff>
                <xdr:row>19</xdr:row>
                <xdr:rowOff>180975</xdr:rowOff>
              </from>
              <to>
                <xdr:col>25</xdr:col>
                <xdr:colOff>361950</xdr:colOff>
                <xdr:row>24</xdr:row>
                <xdr:rowOff>123825</xdr:rowOff>
              </to>
            </anchor>
          </objectPr>
        </oleObject>
      </mc:Choice>
      <mc:Fallback>
        <oleObject progId="Equation.3" shapeId="5126" r:id="rId6"/>
      </mc:Fallback>
    </mc:AlternateContent>
    <mc:AlternateContent xmlns:mc="http://schemas.openxmlformats.org/markup-compatibility/2006">
      <mc:Choice Requires="x14">
        <oleObject progId="Equation.3" shapeId="5127" r:id="rId8">
          <objectPr defaultSize="0" autoPict="0" r:id="rId9">
            <anchor moveWithCells="1" sizeWithCells="1">
              <from>
                <xdr:col>13</xdr:col>
                <xdr:colOff>457200</xdr:colOff>
                <xdr:row>20</xdr:row>
                <xdr:rowOff>161925</xdr:rowOff>
              </from>
              <to>
                <xdr:col>17</xdr:col>
                <xdr:colOff>552450</xdr:colOff>
                <xdr:row>24</xdr:row>
                <xdr:rowOff>171450</xdr:rowOff>
              </to>
            </anchor>
          </objectPr>
        </oleObject>
      </mc:Choice>
      <mc:Fallback>
        <oleObject progId="Equation.3" shapeId="5127" r:id="rId8"/>
      </mc:Fallback>
    </mc:AlternateContent>
    <mc:AlternateContent xmlns:mc="http://schemas.openxmlformats.org/markup-compatibility/2006">
      <mc:Choice Requires="x14">
        <oleObject progId="Equation.3" shapeId="5128" r:id="rId10">
          <objectPr defaultSize="0" autoPict="0" r:id="rId11">
            <anchor moveWithCells="1" sizeWithCells="1">
              <from>
                <xdr:col>9</xdr:col>
                <xdr:colOff>142875</xdr:colOff>
                <xdr:row>15</xdr:row>
                <xdr:rowOff>171450</xdr:rowOff>
              </from>
              <to>
                <xdr:col>14</xdr:col>
                <xdr:colOff>133350</xdr:colOff>
                <xdr:row>17</xdr:row>
                <xdr:rowOff>47625</xdr:rowOff>
              </to>
            </anchor>
          </objectPr>
        </oleObject>
      </mc:Choice>
      <mc:Fallback>
        <oleObject progId="Equation.3" shapeId="5128" r:id="rId10"/>
      </mc:Fallback>
    </mc:AlternateContent>
    <mc:AlternateContent xmlns:mc="http://schemas.openxmlformats.org/markup-compatibility/2006">
      <mc:Choice Requires="x14">
        <oleObject progId="Equation.3" shapeId="5129" r:id="rId12">
          <objectPr defaultSize="0" autoPict="0" r:id="rId13">
            <anchor moveWithCells="1" sizeWithCells="1">
              <from>
                <xdr:col>18</xdr:col>
                <xdr:colOff>514350</xdr:colOff>
                <xdr:row>15</xdr:row>
                <xdr:rowOff>171450</xdr:rowOff>
              </from>
              <to>
                <xdr:col>22</xdr:col>
                <xdr:colOff>209550</xdr:colOff>
                <xdr:row>18</xdr:row>
                <xdr:rowOff>180975</xdr:rowOff>
              </to>
            </anchor>
          </objectPr>
        </oleObject>
      </mc:Choice>
      <mc:Fallback>
        <oleObject progId="Equation.3" shapeId="5129" r:id="rId12"/>
      </mc:Fallback>
    </mc:AlternateContent>
    <mc:AlternateContent xmlns:mc="http://schemas.openxmlformats.org/markup-compatibility/2006">
      <mc:Choice Requires="x14">
        <oleObject progId="Equation.3" shapeId="5131" r:id="rId14">
          <objectPr defaultSize="0" autoPict="0" r:id="rId15">
            <anchor moveWithCells="1" sizeWithCells="1">
              <from>
                <xdr:col>14</xdr:col>
                <xdr:colOff>266700</xdr:colOff>
                <xdr:row>12</xdr:row>
                <xdr:rowOff>47625</xdr:rowOff>
              </from>
              <to>
                <xdr:col>17</xdr:col>
                <xdr:colOff>114300</xdr:colOff>
                <xdr:row>16</xdr:row>
                <xdr:rowOff>180975</xdr:rowOff>
              </to>
            </anchor>
          </objectPr>
        </oleObject>
      </mc:Choice>
      <mc:Fallback>
        <oleObject progId="Equation.3" shapeId="5131" r:id="rId14"/>
      </mc:Fallback>
    </mc:AlternateContent>
    <mc:AlternateContent xmlns:mc="http://schemas.openxmlformats.org/markup-compatibility/2006">
      <mc:Choice Requires="x14">
        <oleObject progId="Equation.3" shapeId="5132" r:id="rId16">
          <objectPr defaultSize="0" autoPict="0" r:id="rId17">
            <anchor moveWithCells="1" sizeWithCells="1">
              <from>
                <xdr:col>18</xdr:col>
                <xdr:colOff>200025</xdr:colOff>
                <xdr:row>7</xdr:row>
                <xdr:rowOff>152400</xdr:rowOff>
              </from>
              <to>
                <xdr:col>26</xdr:col>
                <xdr:colOff>266700</xdr:colOff>
                <xdr:row>13</xdr:row>
                <xdr:rowOff>171450</xdr:rowOff>
              </to>
            </anchor>
          </objectPr>
        </oleObject>
      </mc:Choice>
      <mc:Fallback>
        <oleObject progId="Equation.3" shapeId="5132" r:id="rId16"/>
      </mc:Fallback>
    </mc:AlternateContent>
    <mc:AlternateContent xmlns:mc="http://schemas.openxmlformats.org/markup-compatibility/2006">
      <mc:Choice Requires="x14">
        <oleObject progId="Equation.3" shapeId="5133" r:id="rId18">
          <objectPr defaultSize="0" autoPict="0" r:id="rId19">
            <anchor moveWithCells="1" sizeWithCells="1">
              <from>
                <xdr:col>8</xdr:col>
                <xdr:colOff>742950</xdr:colOff>
                <xdr:row>20</xdr:row>
                <xdr:rowOff>76200</xdr:rowOff>
              </from>
              <to>
                <xdr:col>11</xdr:col>
                <xdr:colOff>361950</xdr:colOff>
                <xdr:row>22</xdr:row>
                <xdr:rowOff>180975</xdr:rowOff>
              </to>
            </anchor>
          </objectPr>
        </oleObject>
      </mc:Choice>
      <mc:Fallback>
        <oleObject progId="Equation.3" shapeId="5133" r:id="rId18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1:AC80"/>
  <sheetViews>
    <sheetView workbookViewId="0">
      <pane xSplit="3" ySplit="4" topLeftCell="I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defaultRowHeight="15"/>
  <cols>
    <col min="2" max="2" width="6.140625" style="1" customWidth="1"/>
    <col min="3" max="3" width="11" style="1" bestFit="1" customWidth="1"/>
    <col min="4" max="4" width="12" style="1" customWidth="1"/>
    <col min="5" max="5" width="7.7109375" style="1" customWidth="1"/>
    <col min="6" max="6" width="7.140625" style="1" bestFit="1" customWidth="1"/>
    <col min="7" max="7" width="9.28515625" style="1" customWidth="1"/>
    <col min="8" max="8" width="7.140625" style="1" bestFit="1" customWidth="1"/>
    <col min="9" max="9" width="8.140625" style="1" bestFit="1" customWidth="1"/>
    <col min="10" max="10" width="7" style="1" bestFit="1" customWidth="1"/>
    <col min="11" max="11" width="6.5703125" style="90" bestFit="1" customWidth="1"/>
    <col min="12" max="12" width="9.28515625" style="1" customWidth="1"/>
    <col min="13" max="13" width="9.28515625" style="1" bestFit="1" customWidth="1"/>
    <col min="14" max="14" width="8.140625" style="1" customWidth="1"/>
    <col min="15" max="15" width="7.85546875" style="1" customWidth="1"/>
    <col min="16" max="16" width="7.7109375" style="1" customWidth="1"/>
    <col min="17" max="17" width="8" style="1" customWidth="1"/>
    <col min="18" max="18" width="7.85546875" style="1" customWidth="1"/>
    <col min="19" max="19" width="7.5703125" style="1" bestFit="1" customWidth="1"/>
    <col min="20" max="21" width="7.7109375" style="1" customWidth="1"/>
  </cols>
  <sheetData>
    <row r="1" spans="1:29" ht="17.25" customHeight="1">
      <c r="A1" s="475" t="s">
        <v>106</v>
      </c>
      <c r="B1" s="480" t="s">
        <v>31</v>
      </c>
      <c r="C1" s="477" t="s">
        <v>27</v>
      </c>
      <c r="D1" s="479" t="s">
        <v>77</v>
      </c>
      <c r="E1" s="482" t="s">
        <v>28</v>
      </c>
      <c r="F1" s="483"/>
      <c r="G1" s="483"/>
      <c r="H1" s="484"/>
      <c r="I1" s="477" t="s">
        <v>34</v>
      </c>
      <c r="J1" s="477"/>
      <c r="K1" s="477"/>
      <c r="L1" s="479" t="s">
        <v>75</v>
      </c>
      <c r="M1" s="479" t="s">
        <v>76</v>
      </c>
      <c r="N1" s="479" t="s">
        <v>283</v>
      </c>
      <c r="O1" s="479" t="s">
        <v>284</v>
      </c>
      <c r="P1" s="479" t="s">
        <v>285</v>
      </c>
      <c r="Q1" s="479" t="s">
        <v>286</v>
      </c>
      <c r="R1" s="479" t="s">
        <v>287</v>
      </c>
      <c r="S1" s="479" t="s">
        <v>78</v>
      </c>
      <c r="T1" s="479" t="s">
        <v>79</v>
      </c>
      <c r="U1" s="485" t="s">
        <v>80</v>
      </c>
      <c r="V1" s="5" t="s">
        <v>165</v>
      </c>
      <c r="W1" s="139">
        <v>23</v>
      </c>
    </row>
    <row r="2" spans="1:29">
      <c r="A2" s="476"/>
      <c r="B2" s="481"/>
      <c r="C2" s="478"/>
      <c r="D2" s="478"/>
      <c r="E2" s="478" t="s">
        <v>35</v>
      </c>
      <c r="F2" s="478"/>
      <c r="G2" s="478" t="s">
        <v>36</v>
      </c>
      <c r="H2" s="478"/>
      <c r="I2" s="478" t="s">
        <v>29</v>
      </c>
      <c r="J2" s="478" t="s">
        <v>30</v>
      </c>
      <c r="K2" s="488" t="s">
        <v>96</v>
      </c>
      <c r="L2" s="478"/>
      <c r="M2" s="478"/>
      <c r="N2" s="478"/>
      <c r="O2" s="478"/>
      <c r="P2" s="478"/>
      <c r="Q2" s="478"/>
      <c r="R2" s="478"/>
      <c r="S2" s="478"/>
      <c r="T2" s="478"/>
      <c r="U2" s="486"/>
      <c r="V2" s="74">
        <v>11</v>
      </c>
      <c r="W2" s="74">
        <v>4</v>
      </c>
      <c r="X2" s="74">
        <v>12</v>
      </c>
      <c r="Y2" s="74">
        <v>19</v>
      </c>
      <c r="Z2" s="74">
        <v>21</v>
      </c>
      <c r="AA2" s="74">
        <v>2</v>
      </c>
      <c r="AB2" s="74">
        <v>3</v>
      </c>
      <c r="AC2" s="74">
        <v>9</v>
      </c>
    </row>
    <row r="3" spans="1:29" ht="17.25">
      <c r="A3" s="476"/>
      <c r="B3" s="481"/>
      <c r="C3" s="478"/>
      <c r="D3" s="478"/>
      <c r="E3" s="115" t="s">
        <v>33</v>
      </c>
      <c r="F3" s="115" t="s">
        <v>32</v>
      </c>
      <c r="G3" s="115" t="s">
        <v>33</v>
      </c>
      <c r="H3" s="115" t="s">
        <v>32</v>
      </c>
      <c r="I3" s="478"/>
      <c r="J3" s="478"/>
      <c r="K3" s="488"/>
      <c r="L3" s="478"/>
      <c r="M3" s="478"/>
      <c r="N3" s="478"/>
      <c r="O3" s="478"/>
      <c r="P3" s="478"/>
      <c r="Q3" s="478"/>
      <c r="R3" s="478"/>
      <c r="S3" s="478"/>
      <c r="T3" s="478"/>
      <c r="U3" s="487"/>
      <c r="V3" s="113" cm="1">
        <f t="array" ref="V3">INDEX($A$5:$U$80,$W$1,V2)</f>
        <v>280.8</v>
      </c>
      <c r="W3" s="113" cm="1">
        <f t="array" ref="W3">INDEX($A$5:$U$80,$W$1,W2)</f>
        <v>660</v>
      </c>
      <c r="X3" s="113" cm="1">
        <f t="array" ref="X3">INDEX($A$5:$U$80,$W$1,X2)</f>
        <v>21.8</v>
      </c>
      <c r="Y3" s="113" cm="1">
        <f t="array" ref="Y3">INDEX($A$5:$U$80,$W$1,Y2)</f>
        <v>8.8400000000000006E-3</v>
      </c>
      <c r="Z3" s="113" cm="1">
        <f t="array" ref="Z3">INDEX($A$5:$U$80,$W$1,Z2)</f>
        <v>0.14399999999999999</v>
      </c>
      <c r="AA3" s="113" cm="1">
        <f t="array" ref="AA3">INDEX($A$5:$U$80,$W$1,AA2)</f>
        <v>477</v>
      </c>
      <c r="AB3" s="113" t="str" cm="1">
        <f t="array" ref="AB3">INDEX($A$5:$U$80,$W$1,AB2)</f>
        <v>Hawk</v>
      </c>
      <c r="AC3" s="113" cm="1">
        <f t="array" ref="AC3">INDEX($A$5:$U$80,$W$1,AC2)</f>
        <v>241.51</v>
      </c>
    </row>
    <row r="4" spans="1:29">
      <c r="A4" s="121">
        <v>1</v>
      </c>
      <c r="B4" s="120">
        <v>2</v>
      </c>
      <c r="C4" s="110">
        <v>3</v>
      </c>
      <c r="D4" s="115">
        <v>4</v>
      </c>
      <c r="E4" s="110">
        <v>5</v>
      </c>
      <c r="F4" s="115">
        <v>6</v>
      </c>
      <c r="G4" s="110">
        <v>7</v>
      </c>
      <c r="H4" s="115">
        <v>8</v>
      </c>
      <c r="I4" s="110">
        <v>9</v>
      </c>
      <c r="J4" s="115">
        <v>10</v>
      </c>
      <c r="K4" s="295">
        <v>11</v>
      </c>
      <c r="L4" s="115">
        <v>12</v>
      </c>
      <c r="M4" s="110">
        <v>13</v>
      </c>
      <c r="N4" s="115">
        <v>14</v>
      </c>
      <c r="O4" s="110">
        <v>15</v>
      </c>
      <c r="P4" s="115">
        <v>16</v>
      </c>
      <c r="Q4" s="110">
        <v>17</v>
      </c>
      <c r="R4" s="115">
        <v>18</v>
      </c>
      <c r="S4" s="110">
        <v>19</v>
      </c>
      <c r="T4" s="115">
        <v>20</v>
      </c>
      <c r="U4" s="149">
        <v>21</v>
      </c>
    </row>
    <row r="5" spans="1:29">
      <c r="A5" s="121">
        <v>1</v>
      </c>
      <c r="B5" s="1">
        <v>6</v>
      </c>
      <c r="C5" s="1" t="s">
        <v>84</v>
      </c>
      <c r="D5" s="1">
        <v>110</v>
      </c>
      <c r="E5" s="1">
        <v>6</v>
      </c>
      <c r="F5" s="1">
        <v>1.679</v>
      </c>
      <c r="G5" s="1">
        <v>1</v>
      </c>
      <c r="H5" s="1">
        <v>1.679</v>
      </c>
      <c r="I5" s="1">
        <v>13.28</v>
      </c>
      <c r="K5" s="90">
        <v>15.5</v>
      </c>
      <c r="L5" s="1">
        <v>5</v>
      </c>
      <c r="N5" s="1">
        <v>36.4</v>
      </c>
      <c r="O5" s="1">
        <v>17.2</v>
      </c>
      <c r="P5" s="1">
        <v>53.7</v>
      </c>
      <c r="Q5" s="1">
        <v>539</v>
      </c>
      <c r="R5" s="1">
        <v>524</v>
      </c>
      <c r="S5" s="76">
        <v>1.9300000000000001E-3</v>
      </c>
      <c r="T5" s="122">
        <v>2.1520000000000001</v>
      </c>
      <c r="U5" s="123">
        <v>2.677</v>
      </c>
    </row>
    <row r="6" spans="1:29">
      <c r="A6" s="121">
        <v>2</v>
      </c>
      <c r="B6" s="1">
        <v>5</v>
      </c>
      <c r="C6" s="1" t="s">
        <v>85</v>
      </c>
      <c r="D6" s="1">
        <v>130</v>
      </c>
      <c r="E6" s="1">
        <v>6</v>
      </c>
      <c r="F6" s="1">
        <v>1.887</v>
      </c>
      <c r="G6" s="1">
        <v>1</v>
      </c>
      <c r="H6" s="1">
        <v>1.887</v>
      </c>
      <c r="I6" s="1">
        <v>16.78</v>
      </c>
      <c r="K6" s="90">
        <v>19.600000000000001</v>
      </c>
      <c r="L6" s="1">
        <v>5.7</v>
      </c>
      <c r="N6" s="1">
        <v>46</v>
      </c>
      <c r="O6" s="1">
        <v>21.8</v>
      </c>
      <c r="P6" s="1">
        <v>67.8</v>
      </c>
      <c r="Q6" s="1">
        <v>676</v>
      </c>
      <c r="R6" s="1">
        <v>656</v>
      </c>
      <c r="S6" s="76">
        <v>2.1700000000000001E-3</v>
      </c>
      <c r="T6" s="122">
        <v>1.704</v>
      </c>
      <c r="U6" s="123">
        <v>2.1190000000000002</v>
      </c>
    </row>
    <row r="7" spans="1:29">
      <c r="A7" s="121">
        <v>3</v>
      </c>
      <c r="B7" s="1">
        <v>4</v>
      </c>
      <c r="C7" s="1" t="s">
        <v>86</v>
      </c>
      <c r="D7" s="1">
        <v>140</v>
      </c>
      <c r="E7" s="1">
        <v>6</v>
      </c>
      <c r="F7" s="1">
        <v>2.1179999999999999</v>
      </c>
      <c r="G7" s="1">
        <v>1</v>
      </c>
      <c r="H7" s="1">
        <v>2.1179999999999999</v>
      </c>
      <c r="I7" s="1">
        <v>21.14</v>
      </c>
      <c r="K7" s="90">
        <v>24.7</v>
      </c>
      <c r="L7" s="1">
        <v>6.4</v>
      </c>
      <c r="N7" s="1">
        <v>58</v>
      </c>
      <c r="O7" s="1">
        <v>27.4</v>
      </c>
      <c r="P7" s="1">
        <v>85.4</v>
      </c>
      <c r="Q7" s="1">
        <v>844</v>
      </c>
      <c r="R7" s="1">
        <v>820</v>
      </c>
      <c r="S7" s="76">
        <v>2.4399999999999999E-3</v>
      </c>
      <c r="T7" s="122">
        <v>1.353</v>
      </c>
      <c r="U7" s="123">
        <v>1.712</v>
      </c>
    </row>
    <row r="8" spans="1:29">
      <c r="A8" s="121">
        <v>4</v>
      </c>
      <c r="B8" s="1">
        <v>3</v>
      </c>
      <c r="C8" s="1" t="s">
        <v>87</v>
      </c>
      <c r="D8" s="1">
        <v>150</v>
      </c>
      <c r="E8" s="1">
        <v>6</v>
      </c>
      <c r="F8" s="1">
        <v>2.38</v>
      </c>
      <c r="G8" s="1">
        <v>1</v>
      </c>
      <c r="H8" s="1">
        <v>2.38</v>
      </c>
      <c r="I8" s="1">
        <v>26.69</v>
      </c>
      <c r="K8" s="90">
        <v>31.1</v>
      </c>
      <c r="L8" s="1">
        <v>7.1</v>
      </c>
      <c r="N8" s="1">
        <v>73.2</v>
      </c>
      <c r="O8" s="1">
        <v>34.6</v>
      </c>
      <c r="P8" s="1">
        <v>107.8</v>
      </c>
      <c r="Q8" s="1">
        <v>1044</v>
      </c>
      <c r="R8" s="1">
        <v>1014</v>
      </c>
      <c r="S8" s="76">
        <v>2.7399999999999998E-3</v>
      </c>
      <c r="T8" s="122">
        <v>1.071</v>
      </c>
      <c r="U8" s="123">
        <v>1.3560000000000001</v>
      </c>
    </row>
    <row r="9" spans="1:29">
      <c r="A9" s="121">
        <v>5</v>
      </c>
      <c r="B9" s="1">
        <v>2</v>
      </c>
      <c r="C9" s="1" t="s">
        <v>88</v>
      </c>
      <c r="D9" s="1">
        <v>190</v>
      </c>
      <c r="E9" s="1">
        <v>6</v>
      </c>
      <c r="F9" s="1">
        <v>2.6720000000000002</v>
      </c>
      <c r="G9" s="1">
        <v>1</v>
      </c>
      <c r="H9" s="1">
        <v>2.6720000000000002</v>
      </c>
      <c r="I9" s="1">
        <v>33.64</v>
      </c>
      <c r="K9" s="90">
        <v>39.299999999999997</v>
      </c>
      <c r="L9" s="1">
        <v>8</v>
      </c>
      <c r="N9" s="1">
        <v>92.3</v>
      </c>
      <c r="O9" s="1">
        <v>43.6</v>
      </c>
      <c r="P9" s="1">
        <v>135.9</v>
      </c>
      <c r="Q9" s="1">
        <v>1293</v>
      </c>
      <c r="R9" s="1">
        <v>1255</v>
      </c>
      <c r="S9" s="76">
        <v>3.0799999999999998E-3</v>
      </c>
      <c r="T9" s="122">
        <v>0.85</v>
      </c>
      <c r="U9" s="123">
        <v>1.1020000000000001</v>
      </c>
    </row>
    <row r="10" spans="1:29">
      <c r="A10" s="121">
        <v>6</v>
      </c>
      <c r="B10" s="1">
        <v>1</v>
      </c>
      <c r="C10" s="1" t="s">
        <v>89</v>
      </c>
      <c r="D10" s="1">
        <v>210</v>
      </c>
      <c r="E10" s="1">
        <v>6</v>
      </c>
      <c r="F10" s="1">
        <v>3</v>
      </c>
      <c r="G10" s="1">
        <v>1</v>
      </c>
      <c r="H10" s="1">
        <v>3</v>
      </c>
      <c r="I10" s="1">
        <v>42.41</v>
      </c>
      <c r="K10" s="90">
        <v>49.5</v>
      </c>
      <c r="L10" s="1">
        <v>9</v>
      </c>
      <c r="N10" s="1">
        <v>116.4</v>
      </c>
      <c r="O10" s="1">
        <v>55</v>
      </c>
      <c r="P10" s="1">
        <v>171.4</v>
      </c>
      <c r="Q10" s="1">
        <v>1616</v>
      </c>
      <c r="R10" s="1">
        <v>1567</v>
      </c>
      <c r="S10" s="76">
        <v>3.46E-3</v>
      </c>
      <c r="T10" s="122">
        <v>0.67400000000000004</v>
      </c>
      <c r="U10" s="123">
        <v>0.88700000000000001</v>
      </c>
    </row>
    <row r="11" spans="1:29">
      <c r="A11" s="121">
        <v>7</v>
      </c>
      <c r="B11" s="1" t="s">
        <v>90</v>
      </c>
      <c r="C11" s="1" t="s">
        <v>91</v>
      </c>
      <c r="D11" s="1">
        <v>240</v>
      </c>
      <c r="E11" s="1">
        <v>6</v>
      </c>
      <c r="F11" s="1">
        <v>3.371</v>
      </c>
      <c r="G11" s="1">
        <v>1</v>
      </c>
      <c r="H11" s="1">
        <v>3.371</v>
      </c>
      <c r="I11" s="1">
        <v>53.55</v>
      </c>
      <c r="K11" s="90">
        <v>62.5</v>
      </c>
      <c r="L11" s="1">
        <v>10.1</v>
      </c>
      <c r="N11" s="1">
        <v>146.9</v>
      </c>
      <c r="O11" s="1">
        <v>69.400000000000006</v>
      </c>
      <c r="P11" s="1">
        <v>216.4</v>
      </c>
      <c r="Q11" s="1">
        <v>1987</v>
      </c>
      <c r="R11" s="1">
        <v>1926</v>
      </c>
      <c r="S11" s="76">
        <v>3.8800000000000002E-3</v>
      </c>
      <c r="T11" s="122">
        <v>0.53400000000000003</v>
      </c>
      <c r="U11" s="123">
        <v>0.70899999999999996</v>
      </c>
    </row>
    <row r="12" spans="1:29">
      <c r="A12" s="121">
        <v>8</v>
      </c>
      <c r="B12" s="1" t="s">
        <v>92</v>
      </c>
      <c r="C12" s="1" t="s">
        <v>93</v>
      </c>
      <c r="D12" s="1">
        <v>280</v>
      </c>
      <c r="E12" s="1">
        <v>6</v>
      </c>
      <c r="F12" s="1">
        <v>3.782</v>
      </c>
      <c r="G12" s="1">
        <v>1</v>
      </c>
      <c r="H12" s="1">
        <v>3.782</v>
      </c>
      <c r="I12" s="1">
        <v>67.400000000000006</v>
      </c>
      <c r="K12" s="90">
        <v>78.599999999999994</v>
      </c>
      <c r="L12" s="1">
        <v>11.4</v>
      </c>
      <c r="N12" s="1">
        <v>184.9</v>
      </c>
      <c r="O12" s="1">
        <v>87.4</v>
      </c>
      <c r="P12" s="1">
        <v>272.3</v>
      </c>
      <c r="Q12" s="1">
        <v>2401</v>
      </c>
      <c r="R12" s="1">
        <v>2324</v>
      </c>
      <c r="S12" s="76">
        <v>4.3600000000000002E-3</v>
      </c>
      <c r="T12" s="122">
        <v>0.42399999999999999</v>
      </c>
      <c r="U12" s="123">
        <v>0.57699999999999996</v>
      </c>
    </row>
    <row r="13" spans="1:29">
      <c r="A13" s="121">
        <v>9</v>
      </c>
      <c r="B13" s="1" t="s">
        <v>94</v>
      </c>
      <c r="C13" s="1" t="s">
        <v>95</v>
      </c>
      <c r="D13" s="1">
        <v>320</v>
      </c>
      <c r="E13" s="1">
        <v>6</v>
      </c>
      <c r="F13" s="1">
        <v>4.2469999999999999</v>
      </c>
      <c r="G13" s="1">
        <v>1</v>
      </c>
      <c r="H13" s="1">
        <v>4.2469999999999999</v>
      </c>
      <c r="I13" s="1">
        <v>85</v>
      </c>
      <c r="K13" s="90">
        <v>99.2</v>
      </c>
      <c r="L13" s="1">
        <v>12.7</v>
      </c>
      <c r="N13" s="1">
        <v>233.2</v>
      </c>
      <c r="O13" s="1">
        <v>110.2</v>
      </c>
      <c r="P13" s="1">
        <v>343.4</v>
      </c>
      <c r="Q13" s="1">
        <v>3000</v>
      </c>
      <c r="R13" s="1">
        <v>2903</v>
      </c>
      <c r="S13" s="76">
        <v>4.8900000000000002E-3</v>
      </c>
      <c r="T13" s="122">
        <v>0.33600000000000002</v>
      </c>
      <c r="U13" s="123">
        <v>0.47399999999999998</v>
      </c>
    </row>
    <row r="14" spans="1:29">
      <c r="A14" s="121">
        <v>10</v>
      </c>
      <c r="B14" s="1" t="s">
        <v>82</v>
      </c>
      <c r="C14" s="1" t="s">
        <v>83</v>
      </c>
      <c r="D14" s="1">
        <v>370</v>
      </c>
      <c r="E14" s="1">
        <v>6</v>
      </c>
      <c r="F14" s="1">
        <v>4.7699999999999996</v>
      </c>
      <c r="G14" s="1">
        <v>1</v>
      </c>
      <c r="H14" s="1">
        <v>4.7699999999999996</v>
      </c>
      <c r="I14" s="1">
        <v>107.22</v>
      </c>
      <c r="K14" s="90">
        <v>125.1</v>
      </c>
      <c r="L14" s="1">
        <v>14.3</v>
      </c>
      <c r="N14" s="1">
        <v>294.2</v>
      </c>
      <c r="O14" s="1">
        <v>139</v>
      </c>
      <c r="P14" s="1">
        <v>433.2</v>
      </c>
      <c r="Q14" s="1">
        <v>3784</v>
      </c>
      <c r="R14" s="1">
        <v>3661</v>
      </c>
      <c r="S14" s="76">
        <v>5.4999999999999997E-3</v>
      </c>
      <c r="T14" s="122">
        <v>0.26700000000000002</v>
      </c>
      <c r="U14" s="123">
        <v>0.38</v>
      </c>
    </row>
    <row r="15" spans="1:29">
      <c r="A15" s="121">
        <v>11</v>
      </c>
      <c r="B15" s="1">
        <v>266.8</v>
      </c>
      <c r="C15" s="1" t="s">
        <v>2</v>
      </c>
      <c r="D15" s="1">
        <v>450</v>
      </c>
      <c r="E15" s="1">
        <v>6</v>
      </c>
      <c r="F15" s="1">
        <v>5.3559999999999999</v>
      </c>
      <c r="G15" s="1">
        <v>7</v>
      </c>
      <c r="H15" s="1">
        <v>1.786</v>
      </c>
      <c r="I15" s="1">
        <v>135.18</v>
      </c>
      <c r="K15" s="90">
        <v>152.69999999999999</v>
      </c>
      <c r="L15" s="1">
        <v>16.100000000000001</v>
      </c>
      <c r="M15" s="1">
        <v>5.36</v>
      </c>
      <c r="N15" s="1">
        <v>370.9</v>
      </c>
      <c r="O15" s="1">
        <v>137</v>
      </c>
      <c r="P15" s="1">
        <v>507.9</v>
      </c>
      <c r="Q15" s="1">
        <v>4393</v>
      </c>
      <c r="R15" s="1">
        <v>4273</v>
      </c>
      <c r="S15" s="76">
        <v>6.1700000000000001E-3</v>
      </c>
      <c r="T15" s="122">
        <v>0.21199999999999999</v>
      </c>
      <c r="U15" s="123">
        <v>0.30099999999999999</v>
      </c>
    </row>
    <row r="16" spans="1:29">
      <c r="A16" s="121">
        <v>12</v>
      </c>
      <c r="B16" s="1">
        <v>266.8</v>
      </c>
      <c r="C16" s="1" t="s">
        <v>1</v>
      </c>
      <c r="D16" s="1">
        <v>450</v>
      </c>
      <c r="E16" s="1">
        <v>18</v>
      </c>
      <c r="F16" s="1">
        <v>3.0910000000000002</v>
      </c>
      <c r="G16" s="1">
        <v>1</v>
      </c>
      <c r="H16" s="1">
        <v>3.0910000000000002</v>
      </c>
      <c r="I16" s="1">
        <v>135.07</v>
      </c>
      <c r="K16" s="90">
        <v>142.6</v>
      </c>
      <c r="L16" s="1">
        <v>15.5</v>
      </c>
      <c r="M16" s="1">
        <v>3.09</v>
      </c>
      <c r="N16" s="1">
        <v>372.4</v>
      </c>
      <c r="O16" s="1">
        <v>58.4</v>
      </c>
      <c r="P16" s="1">
        <v>430.8</v>
      </c>
      <c r="Q16" s="1">
        <v>3119</v>
      </c>
      <c r="R16" s="1">
        <v>3068</v>
      </c>
      <c r="S16" s="76">
        <v>6.0000000000000001E-3</v>
      </c>
      <c r="T16" s="122">
        <v>0.21299999999999999</v>
      </c>
      <c r="U16" s="123">
        <v>0.30299999999999999</v>
      </c>
    </row>
    <row r="17" spans="1:21">
      <c r="A17" s="121">
        <v>13</v>
      </c>
      <c r="B17" s="1">
        <v>266.8</v>
      </c>
      <c r="C17" s="1" t="s">
        <v>3</v>
      </c>
      <c r="D17" s="1">
        <v>460</v>
      </c>
      <c r="E17" s="1">
        <v>26</v>
      </c>
      <c r="F17" s="1">
        <v>2.573</v>
      </c>
      <c r="G17" s="1">
        <v>7</v>
      </c>
      <c r="H17" s="1">
        <v>2.0019999999999998</v>
      </c>
      <c r="I17" s="1">
        <v>135.19</v>
      </c>
      <c r="K17" s="90">
        <v>157.19999999999999</v>
      </c>
      <c r="L17" s="1">
        <v>16.3</v>
      </c>
      <c r="M17" s="1">
        <v>6.01</v>
      </c>
      <c r="N17" s="1">
        <v>374.6</v>
      </c>
      <c r="O17" s="1">
        <v>172.1</v>
      </c>
      <c r="P17" s="1">
        <v>546.70000000000005</v>
      </c>
      <c r="Q17" s="1">
        <v>5125</v>
      </c>
      <c r="R17" s="1">
        <v>4974</v>
      </c>
      <c r="S17" s="76">
        <v>6.6100000000000004E-3</v>
      </c>
      <c r="T17" s="122">
        <v>0.214</v>
      </c>
      <c r="U17" s="123">
        <v>0.255</v>
      </c>
    </row>
    <row r="18" spans="1:21">
      <c r="A18" s="121">
        <v>14</v>
      </c>
      <c r="B18" s="1">
        <v>300</v>
      </c>
      <c r="C18" s="1" t="s">
        <v>4</v>
      </c>
      <c r="D18" s="1">
        <v>500</v>
      </c>
      <c r="E18" s="1">
        <v>26</v>
      </c>
      <c r="F18" s="1">
        <v>2.7280000000000002</v>
      </c>
      <c r="G18" s="1">
        <v>7</v>
      </c>
      <c r="H18" s="1">
        <v>2.121</v>
      </c>
      <c r="I18" s="1">
        <v>151.97</v>
      </c>
      <c r="K18" s="90">
        <v>176.7</v>
      </c>
      <c r="L18" s="1">
        <v>17.3</v>
      </c>
      <c r="M18" s="1">
        <v>6.36</v>
      </c>
      <c r="N18" s="1">
        <v>421</v>
      </c>
      <c r="O18" s="1">
        <v>193.2</v>
      </c>
      <c r="P18" s="1">
        <v>614.20000000000005</v>
      </c>
      <c r="Q18" s="1">
        <v>5756</v>
      </c>
      <c r="R18" s="1">
        <v>5586</v>
      </c>
      <c r="S18" s="76">
        <v>7.0099999999999997E-3</v>
      </c>
      <c r="T18" s="122">
        <v>0.19</v>
      </c>
      <c r="U18" s="123">
        <v>0.22700000000000001</v>
      </c>
    </row>
    <row r="19" spans="1:21">
      <c r="A19" s="121">
        <v>15</v>
      </c>
      <c r="B19" s="1">
        <v>336.4</v>
      </c>
      <c r="C19" s="1" t="s">
        <v>5</v>
      </c>
      <c r="D19" s="1">
        <v>520</v>
      </c>
      <c r="E19" s="1">
        <v>18</v>
      </c>
      <c r="F19" s="1">
        <v>3.472</v>
      </c>
      <c r="G19" s="1">
        <v>1</v>
      </c>
      <c r="H19" s="1">
        <v>3.472</v>
      </c>
      <c r="I19" s="1">
        <v>170.42</v>
      </c>
      <c r="K19" s="90">
        <v>179.9</v>
      </c>
      <c r="L19" s="1">
        <v>17.399999999999999</v>
      </c>
      <c r="M19" s="1">
        <v>3.47</v>
      </c>
      <c r="N19" s="1">
        <v>469.9</v>
      </c>
      <c r="O19" s="1">
        <v>73.7</v>
      </c>
      <c r="P19" s="1">
        <v>543.5</v>
      </c>
      <c r="Q19" s="1">
        <v>3936</v>
      </c>
      <c r="R19" s="1">
        <v>3871</v>
      </c>
      <c r="S19" s="76">
        <v>6.7400000000000003E-3</v>
      </c>
      <c r="T19" s="122">
        <v>0.16900000000000001</v>
      </c>
      <c r="U19" s="123">
        <v>0.20499999999999999</v>
      </c>
    </row>
    <row r="20" spans="1:21">
      <c r="A20" s="121">
        <v>16</v>
      </c>
      <c r="B20" s="1">
        <v>336.4</v>
      </c>
      <c r="C20" s="1" t="s">
        <v>6</v>
      </c>
      <c r="D20" s="1">
        <v>530</v>
      </c>
      <c r="E20" s="1">
        <v>26</v>
      </c>
      <c r="F20" s="1">
        <v>2.8879999999999999</v>
      </c>
      <c r="G20" s="1">
        <v>7</v>
      </c>
      <c r="H20" s="1">
        <v>2.2450000000000001</v>
      </c>
      <c r="I20" s="1">
        <v>170.32</v>
      </c>
      <c r="K20" s="90">
        <v>198</v>
      </c>
      <c r="L20" s="1">
        <v>18.3</v>
      </c>
      <c r="M20" s="1">
        <v>6.74</v>
      </c>
      <c r="N20" s="1">
        <v>471.9</v>
      </c>
      <c r="O20" s="1">
        <v>216.4</v>
      </c>
      <c r="P20" s="1">
        <v>688.3</v>
      </c>
      <c r="Q20" s="1">
        <v>6393</v>
      </c>
      <c r="R20" s="1">
        <v>6203</v>
      </c>
      <c r="S20" s="76">
        <v>7.4200000000000004E-3</v>
      </c>
      <c r="T20" s="122">
        <v>0.17</v>
      </c>
      <c r="U20" s="123">
        <v>0.20300000000000001</v>
      </c>
    </row>
    <row r="21" spans="1:21">
      <c r="A21" s="121">
        <v>17</v>
      </c>
      <c r="B21" s="1">
        <v>336.4</v>
      </c>
      <c r="C21" s="1" t="s">
        <v>7</v>
      </c>
      <c r="D21" s="1">
        <v>530</v>
      </c>
      <c r="E21" s="1">
        <v>30</v>
      </c>
      <c r="F21" s="1">
        <v>2.69</v>
      </c>
      <c r="G21" s="1">
        <v>7</v>
      </c>
      <c r="H21" s="1">
        <v>2.69</v>
      </c>
      <c r="I21" s="1">
        <v>170.5</v>
      </c>
      <c r="K21" s="90">
        <v>210.3</v>
      </c>
      <c r="L21" s="1">
        <v>18.8</v>
      </c>
      <c r="M21" s="1">
        <v>8.07</v>
      </c>
      <c r="N21" s="1">
        <v>473.5</v>
      </c>
      <c r="O21" s="1">
        <v>310.7</v>
      </c>
      <c r="P21" s="1">
        <v>784.3</v>
      </c>
      <c r="Q21" s="1">
        <v>7884</v>
      </c>
      <c r="R21" s="1">
        <v>7611</v>
      </c>
      <c r="S21" s="76">
        <v>7.7799999999999996E-3</v>
      </c>
      <c r="T21" s="122">
        <v>0.17</v>
      </c>
      <c r="U21" s="123">
        <v>0.20100000000000001</v>
      </c>
    </row>
    <row r="22" spans="1:21">
      <c r="A22" s="121">
        <v>18</v>
      </c>
      <c r="B22" s="1">
        <v>397.5</v>
      </c>
      <c r="C22" s="1" t="s">
        <v>8</v>
      </c>
      <c r="D22" s="1">
        <v>580</v>
      </c>
      <c r="E22" s="1">
        <v>18</v>
      </c>
      <c r="F22" s="1">
        <v>3.774</v>
      </c>
      <c r="G22" s="1">
        <v>1</v>
      </c>
      <c r="H22" s="1">
        <v>3.774</v>
      </c>
      <c r="I22" s="1">
        <v>201.36</v>
      </c>
      <c r="K22" s="90">
        <v>212.5</v>
      </c>
      <c r="L22" s="1">
        <v>18.899999999999999</v>
      </c>
      <c r="M22" s="1">
        <v>3.77</v>
      </c>
      <c r="N22" s="1">
        <v>555.20000000000005</v>
      </c>
      <c r="O22" s="1">
        <v>87</v>
      </c>
      <c r="P22" s="1">
        <v>642.20000000000005</v>
      </c>
      <c r="Q22" s="1">
        <v>4506</v>
      </c>
      <c r="R22" s="1">
        <v>4430</v>
      </c>
      <c r="S22" s="76">
        <v>7.3299999999999997E-3</v>
      </c>
      <c r="T22" s="122">
        <v>0.14299999999999999</v>
      </c>
      <c r="U22" s="123">
        <v>0.17299999999999999</v>
      </c>
    </row>
    <row r="23" spans="1:21">
      <c r="A23" s="121">
        <v>19</v>
      </c>
      <c r="B23" s="1">
        <v>397.5</v>
      </c>
      <c r="C23" s="1" t="s">
        <v>9</v>
      </c>
      <c r="D23" s="1">
        <v>590</v>
      </c>
      <c r="E23" s="1">
        <v>24</v>
      </c>
      <c r="F23" s="1">
        <v>3.2690000000000001</v>
      </c>
      <c r="G23" s="1">
        <v>7</v>
      </c>
      <c r="H23" s="1">
        <v>2.1789999999999998</v>
      </c>
      <c r="I23" s="1">
        <v>201.43</v>
      </c>
      <c r="K23" s="90">
        <v>227.5</v>
      </c>
      <c r="L23" s="1">
        <v>19.600000000000001</v>
      </c>
      <c r="M23" s="1">
        <v>6.54</v>
      </c>
      <c r="N23" s="1">
        <v>558.1</v>
      </c>
      <c r="O23" s="1">
        <v>203.9</v>
      </c>
      <c r="P23" s="1">
        <v>762</v>
      </c>
      <c r="Q23" s="1">
        <v>6641</v>
      </c>
      <c r="R23" s="1">
        <v>6462</v>
      </c>
      <c r="S23" s="76">
        <v>7.8799999999999999E-3</v>
      </c>
      <c r="T23" s="122">
        <v>0.14299999999999999</v>
      </c>
      <c r="U23" s="123">
        <v>0.17399999999999999</v>
      </c>
    </row>
    <row r="24" spans="1:21">
      <c r="A24" s="121">
        <v>20</v>
      </c>
      <c r="B24" s="1">
        <v>397.5</v>
      </c>
      <c r="C24" s="1" t="s">
        <v>10</v>
      </c>
      <c r="D24" s="1">
        <v>590</v>
      </c>
      <c r="E24" s="1">
        <v>26</v>
      </c>
      <c r="F24" s="1">
        <v>3.1389999999999998</v>
      </c>
      <c r="G24" s="1">
        <v>7</v>
      </c>
      <c r="H24" s="1">
        <v>2.4409999999999998</v>
      </c>
      <c r="I24" s="1">
        <v>201.21</v>
      </c>
      <c r="K24" s="90">
        <v>234</v>
      </c>
      <c r="L24" s="1">
        <v>19.899999999999999</v>
      </c>
      <c r="M24" s="1">
        <v>7.32</v>
      </c>
      <c r="N24" s="1">
        <v>557.5</v>
      </c>
      <c r="O24" s="1">
        <v>255.9</v>
      </c>
      <c r="P24" s="1">
        <v>813.3</v>
      </c>
      <c r="Q24" s="1">
        <v>7394</v>
      </c>
      <c r="R24" s="1">
        <v>7170</v>
      </c>
      <c r="S24" s="76">
        <v>8.0700000000000008E-3</v>
      </c>
      <c r="T24" s="122">
        <v>0.14399999999999999</v>
      </c>
      <c r="U24" s="123">
        <v>0.17199999999999999</v>
      </c>
    </row>
    <row r="25" spans="1:21">
      <c r="A25" s="121">
        <v>21</v>
      </c>
      <c r="B25" s="1">
        <v>397.5</v>
      </c>
      <c r="C25" s="1" t="s">
        <v>11</v>
      </c>
      <c r="D25" s="1">
        <v>590</v>
      </c>
      <c r="E25" s="1">
        <v>30</v>
      </c>
      <c r="F25" s="1">
        <v>2.9239999999999999</v>
      </c>
      <c r="G25" s="1">
        <v>7</v>
      </c>
      <c r="H25" s="1">
        <v>2.9239999999999999</v>
      </c>
      <c r="I25" s="1">
        <v>201.45</v>
      </c>
      <c r="K25" s="90">
        <v>248.5</v>
      </c>
      <c r="L25" s="1">
        <v>20.5</v>
      </c>
      <c r="M25" s="1">
        <v>8.77</v>
      </c>
      <c r="N25" s="1">
        <v>559.5</v>
      </c>
      <c r="O25" s="1">
        <v>367.2</v>
      </c>
      <c r="P25" s="1">
        <v>926.7</v>
      </c>
      <c r="Q25" s="1">
        <v>9248</v>
      </c>
      <c r="R25" s="1">
        <v>8926</v>
      </c>
      <c r="S25" s="76">
        <v>8.4600000000000005E-3</v>
      </c>
      <c r="T25" s="122">
        <v>0.14399999999999999</v>
      </c>
      <c r="U25" s="123">
        <v>0.17</v>
      </c>
    </row>
    <row r="26" spans="1:21">
      <c r="A26" s="121">
        <v>22</v>
      </c>
      <c r="B26" s="1">
        <v>477</v>
      </c>
      <c r="C26" s="1" t="s">
        <v>12</v>
      </c>
      <c r="D26" s="1">
        <v>640</v>
      </c>
      <c r="E26" s="1">
        <v>18</v>
      </c>
      <c r="F26" s="1">
        <v>4.1349999999999998</v>
      </c>
      <c r="G26" s="1">
        <v>1</v>
      </c>
      <c r="H26" s="1">
        <v>4.1349999999999998</v>
      </c>
      <c r="I26" s="1">
        <v>241.72</v>
      </c>
      <c r="K26" s="90">
        <v>255.1</v>
      </c>
      <c r="L26" s="1">
        <v>20.7</v>
      </c>
      <c r="M26" s="1">
        <v>4.1399999999999997</v>
      </c>
      <c r="N26" s="1">
        <v>666.4</v>
      </c>
      <c r="O26" s="1">
        <v>104.5</v>
      </c>
      <c r="P26" s="1">
        <v>770.9</v>
      </c>
      <c r="Q26" s="1">
        <v>5332</v>
      </c>
      <c r="R26" s="1">
        <v>5240</v>
      </c>
      <c r="S26" s="76">
        <v>8.0300000000000007E-3</v>
      </c>
      <c r="T26" s="122">
        <v>0.11899999999999999</v>
      </c>
      <c r="U26" s="123">
        <v>0.14499999999999999</v>
      </c>
    </row>
    <row r="27" spans="1:21">
      <c r="A27" s="121">
        <v>23</v>
      </c>
      <c r="B27" s="1">
        <v>477</v>
      </c>
      <c r="C27" s="1" t="s">
        <v>13</v>
      </c>
      <c r="D27" s="1">
        <v>660</v>
      </c>
      <c r="E27" s="1">
        <v>26</v>
      </c>
      <c r="F27" s="1">
        <v>3.4390000000000001</v>
      </c>
      <c r="G27" s="1">
        <v>7</v>
      </c>
      <c r="H27" s="1">
        <v>2.6749999999999998</v>
      </c>
      <c r="I27" s="1">
        <v>241.51</v>
      </c>
      <c r="K27" s="90">
        <v>280.8</v>
      </c>
      <c r="L27" s="1">
        <v>21.8</v>
      </c>
      <c r="M27" s="1">
        <v>8.0299999999999994</v>
      </c>
      <c r="N27" s="1">
        <v>669.1</v>
      </c>
      <c r="O27" s="1">
        <v>307.3</v>
      </c>
      <c r="P27" s="1">
        <v>976.4</v>
      </c>
      <c r="Q27" s="1">
        <v>8878</v>
      </c>
      <c r="R27" s="1">
        <v>8608</v>
      </c>
      <c r="S27" s="76">
        <v>8.8400000000000006E-3</v>
      </c>
      <c r="T27" s="122">
        <v>0.12</v>
      </c>
      <c r="U27" s="123">
        <v>0.14399999999999999</v>
      </c>
    </row>
    <row r="28" spans="1:21">
      <c r="A28" s="121">
        <v>24</v>
      </c>
      <c r="B28" s="1">
        <v>477</v>
      </c>
      <c r="C28" s="1" t="s">
        <v>14</v>
      </c>
      <c r="D28" s="1">
        <v>660</v>
      </c>
      <c r="E28" s="1">
        <v>30</v>
      </c>
      <c r="F28" s="1">
        <v>3.2029999999999998</v>
      </c>
      <c r="G28" s="1">
        <v>7</v>
      </c>
      <c r="H28" s="1">
        <v>3.2029999999999998</v>
      </c>
      <c r="I28" s="1">
        <v>241.73</v>
      </c>
      <c r="K28" s="90">
        <v>298.10000000000002</v>
      </c>
      <c r="L28" s="1">
        <v>22.4</v>
      </c>
      <c r="M28" s="1">
        <v>9.61</v>
      </c>
      <c r="N28" s="1">
        <v>671.4</v>
      </c>
      <c r="O28" s="1">
        <v>440.6</v>
      </c>
      <c r="P28" s="1">
        <v>1111.9000000000001</v>
      </c>
      <c r="Q28" s="1">
        <v>10799</v>
      </c>
      <c r="R28" s="1">
        <v>10412</v>
      </c>
      <c r="S28" s="76">
        <v>9.2599999999999991E-3</v>
      </c>
      <c r="T28" s="122">
        <v>0.12</v>
      </c>
      <c r="U28" s="123">
        <v>0.14199999999999999</v>
      </c>
    </row>
    <row r="29" spans="1:21">
      <c r="A29" s="121">
        <v>25</v>
      </c>
      <c r="B29" s="1">
        <v>477</v>
      </c>
      <c r="C29" s="1" t="s">
        <v>15</v>
      </c>
      <c r="D29" s="1">
        <v>670</v>
      </c>
      <c r="E29" s="1">
        <v>24</v>
      </c>
      <c r="F29" s="1">
        <v>3.581</v>
      </c>
      <c r="G29" s="1">
        <v>7</v>
      </c>
      <c r="H29" s="1">
        <v>2.3879999999999999</v>
      </c>
      <c r="I29" s="1">
        <v>241.72</v>
      </c>
      <c r="K29" s="90">
        <v>273.10000000000002</v>
      </c>
      <c r="L29" s="1">
        <v>21.5</v>
      </c>
      <c r="M29" s="1">
        <v>7.16</v>
      </c>
      <c r="N29" s="1">
        <v>669.7</v>
      </c>
      <c r="O29" s="1">
        <v>244.9</v>
      </c>
      <c r="P29" s="1">
        <v>914.6</v>
      </c>
      <c r="Q29" s="1">
        <v>7800</v>
      </c>
      <c r="R29" s="1">
        <v>7585</v>
      </c>
      <c r="S29" s="76">
        <v>8.6300000000000005E-3</v>
      </c>
      <c r="T29" s="122">
        <v>0.12</v>
      </c>
      <c r="U29" s="123">
        <v>0.14399999999999999</v>
      </c>
    </row>
    <row r="30" spans="1:21">
      <c r="A30" s="121">
        <v>26</v>
      </c>
      <c r="B30" s="1">
        <v>556.5</v>
      </c>
      <c r="C30" s="1" t="s">
        <v>16</v>
      </c>
      <c r="D30" s="1">
        <v>710</v>
      </c>
      <c r="E30" s="1">
        <v>18</v>
      </c>
      <c r="F30" s="1">
        <v>4.4649999999999999</v>
      </c>
      <c r="G30" s="1">
        <v>1</v>
      </c>
      <c r="H30" s="1">
        <v>4.4649999999999999</v>
      </c>
      <c r="I30" s="1">
        <v>281.83999999999997</v>
      </c>
      <c r="K30" s="90">
        <v>297.5</v>
      </c>
      <c r="L30" s="1">
        <v>22.3</v>
      </c>
      <c r="M30" s="1">
        <v>4.47</v>
      </c>
      <c r="N30" s="1">
        <v>777.1</v>
      </c>
      <c r="O30" s="1">
        <v>121.8</v>
      </c>
      <c r="P30" s="1">
        <v>898.9</v>
      </c>
      <c r="Q30" s="1">
        <v>6217</v>
      </c>
      <c r="R30" s="1">
        <v>6110</v>
      </c>
      <c r="S30" s="76">
        <v>8.6700000000000006E-3</v>
      </c>
      <c r="T30" s="122">
        <v>0.10199999999999999</v>
      </c>
      <c r="U30" s="123">
        <v>0.124</v>
      </c>
    </row>
    <row r="31" spans="1:21">
      <c r="A31" s="121">
        <v>27</v>
      </c>
      <c r="B31" s="1">
        <v>556.5</v>
      </c>
      <c r="C31" s="1" t="s">
        <v>17</v>
      </c>
      <c r="D31" s="1">
        <v>720</v>
      </c>
      <c r="E31" s="1">
        <v>24</v>
      </c>
      <c r="F31" s="1">
        <v>3.8679999999999999</v>
      </c>
      <c r="G31" s="1">
        <v>7</v>
      </c>
      <c r="H31" s="1">
        <v>2.5779999999999998</v>
      </c>
      <c r="I31" s="1">
        <v>282.02</v>
      </c>
      <c r="K31" s="90">
        <v>318.60000000000002</v>
      </c>
      <c r="L31" s="1">
        <v>23.2</v>
      </c>
      <c r="M31" s="1">
        <v>7.73</v>
      </c>
      <c r="N31" s="1">
        <v>781.3</v>
      </c>
      <c r="O31" s="1">
        <v>285.39999999999998</v>
      </c>
      <c r="P31" s="1">
        <v>1066.8</v>
      </c>
      <c r="Q31" s="1">
        <v>9005</v>
      </c>
      <c r="R31" s="1">
        <v>8754</v>
      </c>
      <c r="S31" s="76">
        <v>9.3200000000000002E-3</v>
      </c>
      <c r="T31" s="122">
        <v>0.10199999999999999</v>
      </c>
      <c r="U31" s="123">
        <v>0.124</v>
      </c>
    </row>
    <row r="32" spans="1:21">
      <c r="A32" s="121">
        <v>28</v>
      </c>
      <c r="B32" s="1">
        <v>556.5</v>
      </c>
      <c r="C32" s="1" t="s">
        <v>19</v>
      </c>
      <c r="D32" s="1">
        <v>730</v>
      </c>
      <c r="E32" s="1">
        <v>26</v>
      </c>
      <c r="F32" s="1">
        <v>3.7160000000000002</v>
      </c>
      <c r="G32" s="1">
        <v>7</v>
      </c>
      <c r="H32" s="1">
        <v>2.891</v>
      </c>
      <c r="I32" s="1">
        <v>281.98</v>
      </c>
      <c r="K32" s="90">
        <v>327.9</v>
      </c>
      <c r="L32" s="1">
        <v>23.5</v>
      </c>
      <c r="M32" s="1">
        <v>8.67</v>
      </c>
      <c r="N32" s="1">
        <v>781.2</v>
      </c>
      <c r="O32" s="1">
        <v>358.9</v>
      </c>
      <c r="P32" s="1">
        <v>1140.2</v>
      </c>
      <c r="Q32" s="1">
        <v>10274</v>
      </c>
      <c r="R32" s="1">
        <v>9959</v>
      </c>
      <c r="S32" s="76">
        <v>9.5500000000000002E-2</v>
      </c>
      <c r="T32" s="122">
        <v>0.10199999999999999</v>
      </c>
      <c r="U32" s="123">
        <v>0.123</v>
      </c>
    </row>
    <row r="33" spans="1:21">
      <c r="A33" s="121">
        <v>29</v>
      </c>
      <c r="B33" s="1">
        <v>556.5</v>
      </c>
      <c r="C33" s="1" t="s">
        <v>18</v>
      </c>
      <c r="D33" s="1">
        <v>730</v>
      </c>
      <c r="E33" s="1">
        <v>30</v>
      </c>
      <c r="F33" s="1">
        <v>3.4590000000000001</v>
      </c>
      <c r="G33" s="1">
        <v>7</v>
      </c>
      <c r="H33" s="1">
        <v>3.4590000000000001</v>
      </c>
      <c r="I33" s="1">
        <v>281.91000000000003</v>
      </c>
      <c r="K33" s="90">
        <v>347.7</v>
      </c>
      <c r="L33" s="1">
        <v>24.2</v>
      </c>
      <c r="M33" s="1">
        <v>10.38</v>
      </c>
      <c r="N33" s="1">
        <v>783</v>
      </c>
      <c r="O33" s="1">
        <v>513.79999999999995</v>
      </c>
      <c r="P33" s="1">
        <v>1296.8</v>
      </c>
      <c r="Q33" s="1">
        <v>12594</v>
      </c>
      <c r="R33" s="1">
        <v>12143</v>
      </c>
      <c r="S33" s="76">
        <v>0.01</v>
      </c>
      <c r="T33" s="122">
        <v>0.10299999999999999</v>
      </c>
      <c r="U33" s="123">
        <v>0.122</v>
      </c>
    </row>
    <row r="34" spans="1:21">
      <c r="A34" s="121">
        <v>30</v>
      </c>
      <c r="B34" s="1">
        <v>605</v>
      </c>
      <c r="C34" s="1" t="s">
        <v>20</v>
      </c>
      <c r="D34" s="1">
        <v>760</v>
      </c>
      <c r="E34" s="1">
        <v>24</v>
      </c>
      <c r="F34" s="1">
        <v>4.0339999999999998</v>
      </c>
      <c r="G34" s="1">
        <v>7</v>
      </c>
      <c r="H34" s="1">
        <v>2.69</v>
      </c>
      <c r="I34" s="1">
        <v>306.74</v>
      </c>
      <c r="K34" s="90">
        <v>346.5</v>
      </c>
      <c r="L34" s="1">
        <v>24.2</v>
      </c>
      <c r="M34" s="1">
        <v>8.07</v>
      </c>
      <c r="N34" s="1">
        <v>849.9</v>
      </c>
      <c r="O34" s="1">
        <v>310.7</v>
      </c>
      <c r="P34" s="1">
        <v>1160.5999999999999</v>
      </c>
      <c r="Q34" s="1">
        <v>9799</v>
      </c>
      <c r="R34" s="1">
        <v>9527</v>
      </c>
      <c r="S34" s="76">
        <v>9.7199999999999995E-3</v>
      </c>
      <c r="T34" s="122">
        <v>9.4E-2</v>
      </c>
      <c r="U34" s="123">
        <v>0.114</v>
      </c>
    </row>
    <row r="35" spans="1:21">
      <c r="A35" s="121">
        <v>31</v>
      </c>
      <c r="B35" s="1">
        <v>605</v>
      </c>
      <c r="C35" s="1" t="s">
        <v>0</v>
      </c>
      <c r="D35" s="1">
        <v>770</v>
      </c>
      <c r="E35" s="1">
        <v>54</v>
      </c>
      <c r="F35" s="1">
        <v>2.6890000000000001</v>
      </c>
      <c r="G35" s="1">
        <v>7</v>
      </c>
      <c r="H35" s="1">
        <v>2.6890000000000001</v>
      </c>
      <c r="I35" s="1">
        <v>306.67</v>
      </c>
      <c r="K35" s="90">
        <v>346.4</v>
      </c>
      <c r="L35" s="1">
        <v>24.2</v>
      </c>
      <c r="M35" s="1">
        <v>8.07</v>
      </c>
      <c r="N35" s="1">
        <v>849.6</v>
      </c>
      <c r="O35" s="1">
        <v>310.5</v>
      </c>
      <c r="P35" s="1">
        <v>1160.0999999999999</v>
      </c>
      <c r="Q35" s="1">
        <v>10083</v>
      </c>
      <c r="R35" s="1">
        <v>9822</v>
      </c>
      <c r="S35" s="76">
        <v>9.7999999999999997E-3</v>
      </c>
      <c r="T35" s="122">
        <v>9.4E-2</v>
      </c>
      <c r="U35" s="123">
        <v>0.112</v>
      </c>
    </row>
    <row r="36" spans="1:21">
      <c r="A36" s="121">
        <v>32</v>
      </c>
      <c r="B36" s="1">
        <v>605</v>
      </c>
      <c r="C36" s="1" t="s">
        <v>22</v>
      </c>
      <c r="D36" s="1">
        <v>770</v>
      </c>
      <c r="E36" s="1">
        <v>26</v>
      </c>
      <c r="F36" s="1">
        <v>3.8740000000000001</v>
      </c>
      <c r="G36" s="1">
        <v>7</v>
      </c>
      <c r="H36" s="1">
        <v>3.012</v>
      </c>
      <c r="I36" s="1">
        <v>306.47000000000003</v>
      </c>
      <c r="K36" s="90">
        <v>356.3</v>
      </c>
      <c r="L36" s="1">
        <v>24.5</v>
      </c>
      <c r="M36" s="1">
        <v>9.0399999999999991</v>
      </c>
      <c r="N36" s="1">
        <v>849.1</v>
      </c>
      <c r="O36" s="1">
        <v>389.6</v>
      </c>
      <c r="P36" s="1">
        <v>1238.7</v>
      </c>
      <c r="Q36" s="1">
        <v>11060</v>
      </c>
      <c r="R36" s="1">
        <v>10718</v>
      </c>
      <c r="S36" s="76">
        <v>9.9600000000000001E-3</v>
      </c>
      <c r="T36" s="122">
        <v>9.4E-2</v>
      </c>
      <c r="U36" s="123">
        <v>0.113</v>
      </c>
    </row>
    <row r="37" spans="1:21">
      <c r="A37" s="121">
        <v>33</v>
      </c>
      <c r="B37" s="1">
        <v>605</v>
      </c>
      <c r="C37" s="1" t="s">
        <v>25</v>
      </c>
      <c r="D37" s="1">
        <v>780</v>
      </c>
      <c r="E37" s="1">
        <v>30</v>
      </c>
      <c r="F37" s="1">
        <v>3.6070000000000002</v>
      </c>
      <c r="G37" s="1">
        <v>19</v>
      </c>
      <c r="H37" s="1">
        <v>2.1640000000000001</v>
      </c>
      <c r="I37" s="1">
        <v>306.55</v>
      </c>
      <c r="K37" s="90">
        <v>376.4</v>
      </c>
      <c r="L37" s="1">
        <v>25.3</v>
      </c>
      <c r="M37" s="1">
        <v>10.82</v>
      </c>
      <c r="N37" s="1">
        <v>851.4</v>
      </c>
      <c r="O37" s="1">
        <v>546.9</v>
      </c>
      <c r="P37" s="1">
        <v>1398.3</v>
      </c>
      <c r="Q37" s="1">
        <v>13592</v>
      </c>
      <c r="R37" s="1">
        <v>13128</v>
      </c>
      <c r="S37" s="76">
        <v>1.043E-2</v>
      </c>
      <c r="T37" s="122">
        <v>9.4E-2</v>
      </c>
      <c r="U37" s="123">
        <v>0.112</v>
      </c>
    </row>
    <row r="38" spans="1:21">
      <c r="A38" s="121">
        <v>34</v>
      </c>
      <c r="B38" s="1">
        <v>605</v>
      </c>
      <c r="C38" s="1" t="s">
        <v>81</v>
      </c>
      <c r="D38" s="1">
        <v>780</v>
      </c>
      <c r="E38" s="1">
        <v>30</v>
      </c>
      <c r="F38" s="1">
        <v>3.6070000000000002</v>
      </c>
      <c r="G38" s="1">
        <v>7</v>
      </c>
      <c r="H38" s="1">
        <v>3.6070000000000002</v>
      </c>
      <c r="I38" s="1">
        <v>306.55</v>
      </c>
      <c r="K38" s="90">
        <v>378.1</v>
      </c>
      <c r="L38" s="1">
        <v>25.3</v>
      </c>
      <c r="M38" s="1">
        <v>10.82</v>
      </c>
      <c r="N38" s="1">
        <v>851.4</v>
      </c>
      <c r="O38" s="1">
        <v>558.70000000000005</v>
      </c>
      <c r="P38" s="1">
        <v>1410.1</v>
      </c>
      <c r="Q38" s="1">
        <v>13103</v>
      </c>
      <c r="R38" s="1">
        <v>12613</v>
      </c>
      <c r="S38" s="76">
        <v>1.043E-2</v>
      </c>
      <c r="T38" s="122">
        <v>9.4E-2</v>
      </c>
      <c r="U38" s="123">
        <v>0.113</v>
      </c>
    </row>
    <row r="39" spans="1:21">
      <c r="A39" s="121">
        <v>35</v>
      </c>
      <c r="B39" s="1">
        <v>636</v>
      </c>
      <c r="C39" s="1" t="s">
        <v>21</v>
      </c>
      <c r="D39" s="1">
        <v>770</v>
      </c>
      <c r="E39" s="1">
        <v>36</v>
      </c>
      <c r="F39" s="1">
        <v>3.3759999999999999</v>
      </c>
      <c r="G39" s="1">
        <v>1</v>
      </c>
      <c r="H39" s="1">
        <v>3.3759999999999999</v>
      </c>
      <c r="I39" s="1">
        <v>322.25</v>
      </c>
      <c r="K39" s="90">
        <v>331.2</v>
      </c>
      <c r="L39" s="1">
        <v>23.6</v>
      </c>
      <c r="M39" s="1">
        <v>3.38</v>
      </c>
      <c r="N39" s="1">
        <v>888.5</v>
      </c>
      <c r="O39" s="1">
        <v>69.599999999999994</v>
      </c>
      <c r="P39" s="1">
        <v>958.1</v>
      </c>
      <c r="Q39" s="1">
        <v>6242</v>
      </c>
      <c r="R39" s="1">
        <v>6180</v>
      </c>
      <c r="S39" s="76">
        <v>9.1900000000000003E-3</v>
      </c>
      <c r="T39" s="122">
        <v>8.8999999999999996E-2</v>
      </c>
      <c r="U39" s="123">
        <v>0.106</v>
      </c>
    </row>
    <row r="40" spans="1:21">
      <c r="A40" s="121">
        <v>36</v>
      </c>
      <c r="B40" s="1">
        <v>636</v>
      </c>
      <c r="C40" s="1" t="s">
        <v>23</v>
      </c>
      <c r="D40" s="1">
        <v>780</v>
      </c>
      <c r="E40" s="1">
        <v>18</v>
      </c>
      <c r="F40" s="1">
        <v>4.7750000000000004</v>
      </c>
      <c r="G40" s="1">
        <v>1</v>
      </c>
      <c r="H40" s="1">
        <v>4.7750000000000004</v>
      </c>
      <c r="I40" s="1">
        <v>322.33999999999997</v>
      </c>
      <c r="K40" s="90">
        <v>340.2</v>
      </c>
      <c r="L40" s="1">
        <v>23.9</v>
      </c>
      <c r="M40" s="1">
        <v>4.78</v>
      </c>
      <c r="N40" s="1">
        <v>888.7</v>
      </c>
      <c r="O40" s="1">
        <v>139.30000000000001</v>
      </c>
      <c r="P40" s="1">
        <v>1028</v>
      </c>
      <c r="Q40" s="1">
        <v>7110</v>
      </c>
      <c r="R40" s="1">
        <v>6987</v>
      </c>
      <c r="S40" s="76">
        <v>9.2700000000000005E-3</v>
      </c>
      <c r="T40" s="122">
        <v>8.8999999999999996E-2</v>
      </c>
      <c r="U40" s="123">
        <v>0.106</v>
      </c>
    </row>
    <row r="41" spans="1:21">
      <c r="A41" s="121">
        <v>37</v>
      </c>
      <c r="B41" s="1">
        <v>636</v>
      </c>
      <c r="C41" s="1" t="s">
        <v>24</v>
      </c>
      <c r="D41" s="1">
        <v>780</v>
      </c>
      <c r="E41" s="1">
        <v>24</v>
      </c>
      <c r="F41" s="1">
        <v>4.1349999999999998</v>
      </c>
      <c r="G41" s="1">
        <v>7</v>
      </c>
      <c r="H41" s="1">
        <v>2.7559999999999998</v>
      </c>
      <c r="I41" s="1">
        <v>322.29000000000002</v>
      </c>
      <c r="K41" s="90">
        <v>364.1</v>
      </c>
      <c r="L41" s="1">
        <v>24.8</v>
      </c>
      <c r="M41" s="1">
        <v>8.27</v>
      </c>
      <c r="N41" s="1">
        <v>892.9</v>
      </c>
      <c r="O41" s="1">
        <v>326.2</v>
      </c>
      <c r="P41" s="1">
        <v>1219.0999999999999</v>
      </c>
      <c r="Q41" s="1">
        <v>10291</v>
      </c>
      <c r="R41" s="1">
        <v>10005</v>
      </c>
      <c r="S41" s="76">
        <v>9.9699999999999997E-3</v>
      </c>
      <c r="T41" s="122">
        <v>0.09</v>
      </c>
      <c r="U41" s="123">
        <v>0.108</v>
      </c>
    </row>
    <row r="42" spans="1:21">
      <c r="A42" s="121">
        <v>38</v>
      </c>
      <c r="B42" s="1">
        <v>636</v>
      </c>
      <c r="C42" s="1" t="s">
        <v>26</v>
      </c>
      <c r="D42" s="1">
        <v>790</v>
      </c>
      <c r="E42" s="1">
        <v>26</v>
      </c>
      <c r="F42" s="1">
        <v>3.9729999999999999</v>
      </c>
      <c r="G42" s="1">
        <v>7</v>
      </c>
      <c r="H42" s="1">
        <v>3.089</v>
      </c>
      <c r="I42" s="1">
        <v>322.33</v>
      </c>
      <c r="K42" s="90">
        <v>374.8</v>
      </c>
      <c r="L42" s="1">
        <v>25.2</v>
      </c>
      <c r="M42" s="1">
        <v>9.27</v>
      </c>
      <c r="N42" s="1">
        <v>893</v>
      </c>
      <c r="O42" s="1">
        <v>409.8</v>
      </c>
      <c r="P42" s="1">
        <v>1302.8</v>
      </c>
      <c r="Q42" s="1">
        <v>11427</v>
      </c>
      <c r="R42" s="1">
        <v>11067</v>
      </c>
      <c r="S42" s="76">
        <v>1.021E-2</v>
      </c>
      <c r="T42" s="122">
        <v>0.09</v>
      </c>
      <c r="U42" s="123">
        <v>0.108</v>
      </c>
    </row>
    <row r="43" spans="1:21">
      <c r="A43" s="121">
        <v>39</v>
      </c>
      <c r="B43" s="1">
        <v>636</v>
      </c>
      <c r="C43" s="1" t="s">
        <v>40</v>
      </c>
      <c r="D43" s="1">
        <v>800</v>
      </c>
      <c r="E43" s="1">
        <v>30</v>
      </c>
      <c r="F43" s="1">
        <v>3.698</v>
      </c>
      <c r="G43" s="1">
        <v>19</v>
      </c>
      <c r="H43" s="1">
        <v>2.2200000000000002</v>
      </c>
      <c r="I43" s="1">
        <v>322.20999999999998</v>
      </c>
      <c r="K43" s="90">
        <v>395.8</v>
      </c>
      <c r="L43" s="1">
        <v>25.9</v>
      </c>
      <c r="M43" s="1">
        <v>11.1</v>
      </c>
      <c r="N43" s="1">
        <v>894.9</v>
      </c>
      <c r="O43" s="1">
        <v>575.6</v>
      </c>
      <c r="P43" s="1">
        <v>1470.5</v>
      </c>
      <c r="Q43" s="1">
        <v>14298</v>
      </c>
      <c r="R43" s="1">
        <v>13809</v>
      </c>
      <c r="S43" s="76">
        <v>1.0699999999999999E-2</v>
      </c>
      <c r="T43" s="122">
        <v>0.09</v>
      </c>
      <c r="U43" s="123">
        <v>0.107</v>
      </c>
    </row>
    <row r="44" spans="1:21">
      <c r="A44" s="121">
        <v>40</v>
      </c>
      <c r="B44" s="1">
        <v>636</v>
      </c>
      <c r="C44" s="1" t="s">
        <v>41</v>
      </c>
      <c r="D44" s="1">
        <v>800</v>
      </c>
      <c r="E44" s="1">
        <v>54</v>
      </c>
      <c r="F44" s="1">
        <v>2.7559999999999998</v>
      </c>
      <c r="G44" s="1">
        <v>7</v>
      </c>
      <c r="H44" s="1">
        <v>2.7559999999999998</v>
      </c>
      <c r="I44" s="1">
        <v>322.14</v>
      </c>
      <c r="K44" s="90">
        <v>363.9</v>
      </c>
      <c r="L44" s="1">
        <v>24.8</v>
      </c>
      <c r="M44" s="1">
        <v>8.27</v>
      </c>
      <c r="N44" s="1">
        <v>892.5</v>
      </c>
      <c r="O44" s="1">
        <v>326.2</v>
      </c>
      <c r="P44" s="1">
        <v>1218.7</v>
      </c>
      <c r="Q44" s="1">
        <v>10592</v>
      </c>
      <c r="R44" s="1">
        <v>10306</v>
      </c>
      <c r="S44" s="76">
        <v>1.004E-2</v>
      </c>
      <c r="T44" s="122">
        <v>0.09</v>
      </c>
      <c r="U44" s="123">
        <v>0.107</v>
      </c>
    </row>
    <row r="45" spans="1:21">
      <c r="A45" s="121">
        <v>41</v>
      </c>
      <c r="B45" s="1">
        <v>636</v>
      </c>
      <c r="C45" s="1" t="s">
        <v>39</v>
      </c>
      <c r="D45" s="1">
        <v>800</v>
      </c>
      <c r="E45" s="1">
        <v>30</v>
      </c>
      <c r="F45" s="1">
        <v>3.698</v>
      </c>
      <c r="G45" s="1">
        <v>7</v>
      </c>
      <c r="H45" s="1">
        <v>3.698</v>
      </c>
      <c r="I45" s="1">
        <v>322.22000000000003</v>
      </c>
      <c r="K45" s="90">
        <v>397.4</v>
      </c>
      <c r="L45" s="1">
        <v>25.9</v>
      </c>
      <c r="M45" s="1">
        <v>11.09</v>
      </c>
      <c r="N45" s="1">
        <v>894.9</v>
      </c>
      <c r="O45" s="1">
        <v>587.29999999999995</v>
      </c>
      <c r="P45" s="1">
        <v>1482.2</v>
      </c>
      <c r="Q45" s="1">
        <v>13772</v>
      </c>
      <c r="R45" s="1">
        <v>13257</v>
      </c>
      <c r="S45" s="76">
        <v>1.0699999999999999E-2</v>
      </c>
      <c r="T45" s="122">
        <v>0.09</v>
      </c>
      <c r="U45" s="123">
        <v>0.108</v>
      </c>
    </row>
    <row r="46" spans="1:21">
      <c r="A46" s="121">
        <v>42</v>
      </c>
      <c r="B46" s="1">
        <v>666.6</v>
      </c>
      <c r="C46" s="1" t="s">
        <v>42</v>
      </c>
      <c r="D46" s="1">
        <v>810</v>
      </c>
      <c r="E46" s="1">
        <v>24</v>
      </c>
      <c r="F46" s="1">
        <v>4.234</v>
      </c>
      <c r="G46" s="1">
        <v>7</v>
      </c>
      <c r="H46" s="1">
        <v>2.8220000000000001</v>
      </c>
      <c r="I46" s="1">
        <v>337.91</v>
      </c>
      <c r="K46" s="90">
        <v>381.7</v>
      </c>
      <c r="L46" s="1">
        <v>25.4</v>
      </c>
      <c r="M46" s="1">
        <v>8.4700000000000006</v>
      </c>
      <c r="N46" s="1">
        <v>936.2</v>
      </c>
      <c r="O46" s="1">
        <v>342</v>
      </c>
      <c r="P46" s="1">
        <v>1278.2</v>
      </c>
      <c r="Q46" s="1">
        <v>10790</v>
      </c>
      <c r="R46" s="1">
        <v>10490</v>
      </c>
      <c r="S46" s="76">
        <v>1.0200000000000001E-2</v>
      </c>
      <c r="T46" s="122">
        <v>8.5999999999999993E-2</v>
      </c>
      <c r="U46" s="123">
        <v>0.10299999999999999</v>
      </c>
    </row>
    <row r="47" spans="1:21">
      <c r="A47" s="121">
        <v>43</v>
      </c>
      <c r="B47" s="1">
        <v>666.6</v>
      </c>
      <c r="C47" s="1" t="s">
        <v>43</v>
      </c>
      <c r="D47" s="1">
        <v>810</v>
      </c>
      <c r="E47" s="1">
        <v>26</v>
      </c>
      <c r="F47" s="1">
        <v>4.0670000000000002</v>
      </c>
      <c r="G47" s="1">
        <v>7</v>
      </c>
      <c r="H47" s="1">
        <v>3.1619999999999999</v>
      </c>
      <c r="I47" s="1">
        <v>337.76</v>
      </c>
      <c r="K47" s="90">
        <v>392.7</v>
      </c>
      <c r="L47" s="1">
        <v>25.8</v>
      </c>
      <c r="M47" s="1">
        <v>9.49</v>
      </c>
      <c r="N47" s="1">
        <v>935.8</v>
      </c>
      <c r="O47" s="1">
        <v>429.4</v>
      </c>
      <c r="P47" s="1">
        <v>1365.2</v>
      </c>
      <c r="Q47" s="1">
        <v>11974</v>
      </c>
      <c r="R47" s="1">
        <v>11597</v>
      </c>
      <c r="S47" s="76">
        <v>1.0449999999999999E-2</v>
      </c>
      <c r="T47" s="122">
        <v>8.5999999999999993E-2</v>
      </c>
      <c r="U47" s="123">
        <v>0.10299999999999999</v>
      </c>
    </row>
    <row r="48" spans="1:21">
      <c r="A48" s="121">
        <v>44</v>
      </c>
      <c r="B48" s="1">
        <v>715.5</v>
      </c>
      <c r="C48" s="1" t="s">
        <v>45</v>
      </c>
      <c r="D48" s="1">
        <v>850</v>
      </c>
      <c r="E48" s="1">
        <v>26</v>
      </c>
      <c r="F48" s="1">
        <v>4.2140000000000004</v>
      </c>
      <c r="G48" s="1">
        <v>7</v>
      </c>
      <c r="H48" s="1">
        <v>3.2770000000000001</v>
      </c>
      <c r="I48" s="1">
        <v>362.62</v>
      </c>
      <c r="K48" s="90">
        <v>421.7</v>
      </c>
      <c r="L48" s="1">
        <v>26.7</v>
      </c>
      <c r="M48" s="1">
        <v>9.83</v>
      </c>
      <c r="N48" s="1">
        <v>1004.7</v>
      </c>
      <c r="O48" s="1">
        <v>461.2</v>
      </c>
      <c r="P48" s="1">
        <v>1465.8</v>
      </c>
      <c r="Q48" s="1">
        <v>12858</v>
      </c>
      <c r="R48" s="1">
        <v>12453</v>
      </c>
      <c r="S48" s="76">
        <v>1.0829999999999999E-2</v>
      </c>
      <c r="T48" s="122">
        <v>0.08</v>
      </c>
      <c r="U48" s="123">
        <v>9.6000000000000002E-2</v>
      </c>
    </row>
    <row r="49" spans="1:21">
      <c r="A49" s="121">
        <v>45</v>
      </c>
      <c r="B49" s="1">
        <v>715.5</v>
      </c>
      <c r="C49" s="1" t="s">
        <v>44</v>
      </c>
      <c r="D49" s="1">
        <v>850</v>
      </c>
      <c r="E49" s="1">
        <v>24</v>
      </c>
      <c r="F49" s="1">
        <v>4.3869999999999996</v>
      </c>
      <c r="G49" s="1">
        <v>7</v>
      </c>
      <c r="H49" s="1">
        <v>2.9239999999999999</v>
      </c>
      <c r="I49" s="1">
        <v>362.78</v>
      </c>
      <c r="K49" s="90">
        <v>409.8</v>
      </c>
      <c r="L49" s="1">
        <v>26.3</v>
      </c>
      <c r="M49" s="1">
        <v>8.77</v>
      </c>
      <c r="N49" s="1">
        <v>1005.1</v>
      </c>
      <c r="O49" s="1">
        <v>367.2</v>
      </c>
      <c r="P49" s="1">
        <v>1372.3</v>
      </c>
      <c r="Q49" s="1">
        <v>11584</v>
      </c>
      <c r="R49" s="1">
        <v>11261</v>
      </c>
      <c r="S49" s="76">
        <v>1.057E-2</v>
      </c>
      <c r="T49" s="122">
        <v>0.08</v>
      </c>
      <c r="U49" s="123">
        <v>9.6000000000000002E-2</v>
      </c>
    </row>
    <row r="50" spans="1:21">
      <c r="A50" s="121">
        <v>46</v>
      </c>
      <c r="B50" s="1">
        <v>715.5</v>
      </c>
      <c r="C50" s="1" t="s">
        <v>46</v>
      </c>
      <c r="D50" s="1">
        <v>860</v>
      </c>
      <c r="E50" s="1">
        <v>30</v>
      </c>
      <c r="F50" s="1">
        <v>3.9220000000000002</v>
      </c>
      <c r="G50" s="1">
        <v>19</v>
      </c>
      <c r="H50" s="1">
        <v>2.3519999999999999</v>
      </c>
      <c r="I50" s="1">
        <v>362.43</v>
      </c>
      <c r="K50" s="90">
        <v>445</v>
      </c>
      <c r="L50" s="1">
        <v>27.5</v>
      </c>
      <c r="M50" s="1">
        <v>11.76</v>
      </c>
      <c r="N50" s="1">
        <v>1006.6</v>
      </c>
      <c r="O50" s="1">
        <v>646.1</v>
      </c>
      <c r="P50" s="1">
        <v>1652.7</v>
      </c>
      <c r="Q50" s="1">
        <v>15709</v>
      </c>
      <c r="R50" s="1">
        <v>15161</v>
      </c>
      <c r="S50" s="76">
        <v>1.1339999999999999E-2</v>
      </c>
      <c r="T50" s="122">
        <v>0.08</v>
      </c>
      <c r="U50" s="123">
        <v>9.5000000000000001E-2</v>
      </c>
    </row>
    <row r="51" spans="1:21">
      <c r="A51" s="121">
        <v>47</v>
      </c>
      <c r="B51" s="1">
        <v>795</v>
      </c>
      <c r="C51" s="1" t="s">
        <v>50</v>
      </c>
      <c r="D51" s="1">
        <v>890</v>
      </c>
      <c r="E51" s="1">
        <v>36</v>
      </c>
      <c r="F51" s="1">
        <v>3.774</v>
      </c>
      <c r="G51" s="1">
        <v>1</v>
      </c>
      <c r="H51" s="1">
        <v>3.774</v>
      </c>
      <c r="I51" s="1">
        <v>402.71</v>
      </c>
      <c r="K51" s="90">
        <v>413.9</v>
      </c>
      <c r="L51" s="1">
        <v>26.4</v>
      </c>
      <c r="M51" s="1">
        <v>3.77</v>
      </c>
      <c r="N51" s="1">
        <v>1110.3</v>
      </c>
      <c r="O51" s="1">
        <v>87</v>
      </c>
      <c r="P51" s="1">
        <v>1197.3</v>
      </c>
      <c r="Q51" s="1">
        <v>7593</v>
      </c>
      <c r="R51" s="1">
        <v>7516</v>
      </c>
      <c r="S51" s="76">
        <v>1.0919999999999999E-2</v>
      </c>
      <c r="T51" s="122">
        <v>7.0999999999999994E-2</v>
      </c>
      <c r="U51" s="123">
        <v>8.5000000000000006E-2</v>
      </c>
    </row>
    <row r="52" spans="1:21">
      <c r="A52" s="121">
        <v>48</v>
      </c>
      <c r="B52" s="1">
        <v>795</v>
      </c>
      <c r="C52" s="1" t="s">
        <v>51</v>
      </c>
      <c r="D52" s="1">
        <v>890</v>
      </c>
      <c r="E52" s="1">
        <v>45</v>
      </c>
      <c r="F52" s="1">
        <v>3.3759999999999999</v>
      </c>
      <c r="G52" s="1">
        <v>7</v>
      </c>
      <c r="H52" s="1">
        <v>2.25</v>
      </c>
      <c r="I52" s="1">
        <v>402.82</v>
      </c>
      <c r="K52" s="90">
        <v>430.6</v>
      </c>
      <c r="L52" s="1">
        <v>27</v>
      </c>
      <c r="M52" s="1">
        <v>6.75</v>
      </c>
      <c r="N52" s="1">
        <v>1116</v>
      </c>
      <c r="O52" s="1">
        <v>217.4</v>
      </c>
      <c r="P52" s="1">
        <v>1333.4</v>
      </c>
      <c r="Q52" s="1">
        <v>10013</v>
      </c>
      <c r="R52" s="1">
        <v>9823</v>
      </c>
      <c r="S52" s="76">
        <v>1.072E-2</v>
      </c>
      <c r="T52" s="122">
        <v>7.1999999999999995E-2</v>
      </c>
      <c r="U52" s="123">
        <v>8.7999999999999995E-2</v>
      </c>
    </row>
    <row r="53" spans="1:21">
      <c r="A53" s="121">
        <v>49</v>
      </c>
      <c r="B53" s="1">
        <v>795</v>
      </c>
      <c r="C53" s="1" t="s">
        <v>52</v>
      </c>
      <c r="D53" s="1">
        <v>900</v>
      </c>
      <c r="E53" s="1">
        <v>54</v>
      </c>
      <c r="F53" s="1">
        <v>3.081</v>
      </c>
      <c r="G53" s="1">
        <v>7</v>
      </c>
      <c r="H53" s="1">
        <v>3.081</v>
      </c>
      <c r="I53" s="1">
        <v>402.59</v>
      </c>
      <c r="K53" s="90">
        <v>454.8</v>
      </c>
      <c r="L53" s="1">
        <v>27.7</v>
      </c>
      <c r="M53" s="1">
        <v>9.24</v>
      </c>
      <c r="N53" s="1">
        <v>1115.4000000000001</v>
      </c>
      <c r="O53" s="1">
        <v>407.6</v>
      </c>
      <c r="P53" s="1">
        <v>1523.1</v>
      </c>
      <c r="Q53" s="1">
        <v>12776</v>
      </c>
      <c r="R53" s="1">
        <v>12418</v>
      </c>
      <c r="S53" s="76">
        <v>1.123E-2</v>
      </c>
      <c r="T53" s="122">
        <v>7.1999999999999995E-2</v>
      </c>
      <c r="U53" s="123">
        <v>8.6999999999999994E-2</v>
      </c>
    </row>
    <row r="54" spans="1:21">
      <c r="A54" s="121">
        <v>50</v>
      </c>
      <c r="B54" s="1">
        <v>795</v>
      </c>
      <c r="C54" s="1" t="s">
        <v>47</v>
      </c>
      <c r="D54" s="1">
        <v>900</v>
      </c>
      <c r="E54" s="1">
        <v>24</v>
      </c>
      <c r="F54" s="1">
        <v>4.6230000000000002</v>
      </c>
      <c r="G54" s="1">
        <v>7</v>
      </c>
      <c r="H54" s="1">
        <v>3.081</v>
      </c>
      <c r="I54" s="1">
        <v>402.86</v>
      </c>
      <c r="K54" s="90">
        <v>455</v>
      </c>
      <c r="L54" s="1">
        <v>27.7</v>
      </c>
      <c r="M54" s="1">
        <v>9.24</v>
      </c>
      <c r="N54" s="1">
        <v>1116.0999999999999</v>
      </c>
      <c r="O54" s="1">
        <v>407.6</v>
      </c>
      <c r="P54" s="1">
        <v>1523.8</v>
      </c>
      <c r="Q54" s="1">
        <v>12658</v>
      </c>
      <c r="R54" s="1">
        <v>12300</v>
      </c>
      <c r="S54" s="76">
        <v>1.1140000000000001E-2</v>
      </c>
      <c r="T54" s="122">
        <v>7.1999999999999995E-2</v>
      </c>
      <c r="U54" s="123">
        <v>8.5999999999999993E-2</v>
      </c>
    </row>
    <row r="55" spans="1:21">
      <c r="A55" s="121">
        <v>51</v>
      </c>
      <c r="B55" s="1">
        <v>795</v>
      </c>
      <c r="C55" s="1" t="s">
        <v>48</v>
      </c>
      <c r="D55" s="1">
        <v>910</v>
      </c>
      <c r="E55" s="1">
        <v>26</v>
      </c>
      <c r="F55" s="1">
        <v>4.4420000000000002</v>
      </c>
      <c r="G55" s="1">
        <v>7</v>
      </c>
      <c r="H55" s="1">
        <v>3.4540000000000002</v>
      </c>
      <c r="I55" s="1">
        <v>402.92</v>
      </c>
      <c r="K55" s="90">
        <v>468.5</v>
      </c>
      <c r="L55" s="1">
        <v>28.1</v>
      </c>
      <c r="M55" s="1">
        <v>10.36</v>
      </c>
      <c r="N55" s="1">
        <v>1116.3</v>
      </c>
      <c r="O55" s="1">
        <v>512.29999999999995</v>
      </c>
      <c r="P55" s="1">
        <v>1628.6</v>
      </c>
      <c r="Q55" s="1">
        <v>14286</v>
      </c>
      <c r="R55" s="1">
        <v>13836</v>
      </c>
      <c r="S55" s="76">
        <v>1.142E-2</v>
      </c>
      <c r="T55" s="122">
        <v>7.1999999999999995E-2</v>
      </c>
      <c r="U55" s="123">
        <v>8.5999999999999993E-2</v>
      </c>
    </row>
    <row r="56" spans="1:21">
      <c r="A56" s="121">
        <v>52</v>
      </c>
      <c r="B56" s="1">
        <v>795</v>
      </c>
      <c r="C56" s="1" t="s">
        <v>49</v>
      </c>
      <c r="D56" s="1">
        <v>920</v>
      </c>
      <c r="E56" s="1">
        <v>30</v>
      </c>
      <c r="F56" s="1">
        <v>4.1349999999999998</v>
      </c>
      <c r="G56" s="1">
        <v>19</v>
      </c>
      <c r="H56" s="1">
        <v>2.4820000000000002</v>
      </c>
      <c r="I56" s="1">
        <v>402.87</v>
      </c>
      <c r="K56" s="90">
        <v>494.8</v>
      </c>
      <c r="L56" s="1">
        <v>29</v>
      </c>
      <c r="M56" s="1">
        <v>12.41</v>
      </c>
      <c r="N56" s="1">
        <v>1118.9000000000001</v>
      </c>
      <c r="O56" s="1">
        <v>719.5</v>
      </c>
      <c r="P56" s="1">
        <v>1838.4</v>
      </c>
      <c r="Q56" s="1">
        <v>17482</v>
      </c>
      <c r="R56" s="1">
        <v>16872</v>
      </c>
      <c r="S56" s="76">
        <v>1.196E-2</v>
      </c>
      <c r="T56" s="122">
        <v>7.1999999999999995E-2</v>
      </c>
      <c r="U56" s="123">
        <v>8.5999999999999993E-2</v>
      </c>
    </row>
    <row r="57" spans="1:21">
      <c r="A57" s="121">
        <v>53</v>
      </c>
      <c r="B57" s="1">
        <v>900</v>
      </c>
      <c r="C57" s="1" t="s">
        <v>54</v>
      </c>
      <c r="D57" s="1">
        <v>950</v>
      </c>
      <c r="E57" s="1">
        <v>54</v>
      </c>
      <c r="F57" s="1">
        <v>3.2789999999999999</v>
      </c>
      <c r="G57" s="1">
        <v>7</v>
      </c>
      <c r="H57" s="1">
        <v>3.2789999999999999</v>
      </c>
      <c r="I57" s="1">
        <v>456</v>
      </c>
      <c r="K57" s="90">
        <v>515.1</v>
      </c>
      <c r="L57" s="1">
        <v>29.5</v>
      </c>
      <c r="M57" s="1">
        <v>9.84</v>
      </c>
      <c r="N57" s="1">
        <v>1263.4000000000001</v>
      </c>
      <c r="O57" s="1">
        <v>461.7</v>
      </c>
      <c r="P57" s="1">
        <v>1725.1</v>
      </c>
      <c r="Q57" s="1">
        <v>14470</v>
      </c>
      <c r="R57" s="1">
        <v>14065</v>
      </c>
      <c r="S57" s="76">
        <v>1.1950000000000001E-2</v>
      </c>
      <c r="T57" s="122">
        <v>6.3E-2</v>
      </c>
      <c r="U57" s="123">
        <v>7.6999999999999999E-2</v>
      </c>
    </row>
    <row r="58" spans="1:21">
      <c r="A58" s="121">
        <v>54</v>
      </c>
      <c r="B58" s="1">
        <v>900</v>
      </c>
      <c r="C58" s="1" t="s">
        <v>53</v>
      </c>
      <c r="D58" s="1">
        <v>960</v>
      </c>
      <c r="E58" s="1">
        <v>45</v>
      </c>
      <c r="F58" s="1">
        <v>3.5920000000000001</v>
      </c>
      <c r="G58" s="1">
        <v>7</v>
      </c>
      <c r="H58" s="1">
        <v>2.395</v>
      </c>
      <c r="I58" s="1">
        <v>456.01</v>
      </c>
      <c r="K58" s="90">
        <v>487.5</v>
      </c>
      <c r="L58" s="1">
        <v>28.7</v>
      </c>
      <c r="M58" s="1">
        <v>7.19</v>
      </c>
      <c r="N58" s="1">
        <v>1263.4000000000001</v>
      </c>
      <c r="O58" s="1">
        <v>246.3</v>
      </c>
      <c r="P58" s="1">
        <v>1509.7</v>
      </c>
      <c r="Q58" s="1">
        <v>11099</v>
      </c>
      <c r="R58" s="1">
        <v>10882</v>
      </c>
      <c r="S58" s="76">
        <v>1.141E-2</v>
      </c>
      <c r="T58" s="122">
        <v>6.3E-2</v>
      </c>
      <c r="U58" s="123">
        <v>7.6999999999999999E-2</v>
      </c>
    </row>
    <row r="59" spans="1:21">
      <c r="A59" s="121">
        <v>55</v>
      </c>
      <c r="B59" s="1">
        <v>954</v>
      </c>
      <c r="C59" s="1" t="s">
        <v>55</v>
      </c>
      <c r="D59" s="1">
        <v>970</v>
      </c>
      <c r="E59" s="1">
        <v>45</v>
      </c>
      <c r="F59" s="1">
        <v>3.698</v>
      </c>
      <c r="G59" s="1">
        <v>7</v>
      </c>
      <c r="H59" s="1">
        <v>2.4660000000000002</v>
      </c>
      <c r="I59" s="1">
        <v>483.32</v>
      </c>
      <c r="K59" s="90">
        <v>516.79999999999995</v>
      </c>
      <c r="L59" s="1">
        <v>29.6</v>
      </c>
      <c r="M59" s="1">
        <v>7.4</v>
      </c>
      <c r="N59" s="1">
        <v>1339.1</v>
      </c>
      <c r="O59" s="1">
        <v>261.10000000000002</v>
      </c>
      <c r="P59" s="1">
        <v>1600.2</v>
      </c>
      <c r="Q59" s="1">
        <v>11764</v>
      </c>
      <c r="R59" s="1">
        <v>11535</v>
      </c>
      <c r="S59" s="76">
        <v>1.174E-2</v>
      </c>
      <c r="T59" s="122">
        <v>0.06</v>
      </c>
      <c r="U59" s="123">
        <v>7.2999999999999995E-2</v>
      </c>
    </row>
    <row r="60" spans="1:21">
      <c r="A60" s="121">
        <v>56</v>
      </c>
      <c r="B60" s="1">
        <v>954</v>
      </c>
      <c r="C60" s="1" t="s">
        <v>56</v>
      </c>
      <c r="D60" s="1">
        <v>990</v>
      </c>
      <c r="E60" s="1">
        <v>54</v>
      </c>
      <c r="F60" s="1">
        <v>3.3759999999999999</v>
      </c>
      <c r="G60" s="1">
        <v>7</v>
      </c>
      <c r="H60" s="1">
        <v>3.3759999999999999</v>
      </c>
      <c r="I60" s="1">
        <v>483.38</v>
      </c>
      <c r="K60" s="90">
        <v>546</v>
      </c>
      <c r="L60" s="1">
        <v>30.4</v>
      </c>
      <c r="M60" s="1">
        <v>10.130000000000001</v>
      </c>
      <c r="N60" s="1">
        <v>1339.2</v>
      </c>
      <c r="O60" s="1">
        <v>489.4</v>
      </c>
      <c r="P60" s="1">
        <v>1828.7</v>
      </c>
      <c r="Q60" s="1">
        <v>15339</v>
      </c>
      <c r="R60" s="1">
        <v>14910</v>
      </c>
      <c r="S60" s="76">
        <v>1.23E-2</v>
      </c>
      <c r="T60" s="122">
        <v>0.06</v>
      </c>
      <c r="U60" s="123">
        <v>7.2999999999999995E-2</v>
      </c>
    </row>
    <row r="61" spans="1:21">
      <c r="A61" s="121">
        <v>57</v>
      </c>
      <c r="B61" s="1">
        <v>1033.5</v>
      </c>
      <c r="C61" s="1" t="s">
        <v>37</v>
      </c>
      <c r="D61" s="1">
        <v>1020</v>
      </c>
      <c r="E61" s="1">
        <v>45</v>
      </c>
      <c r="F61" s="1">
        <v>3.8479999999999999</v>
      </c>
      <c r="G61" s="1">
        <v>7</v>
      </c>
      <c r="H61" s="1">
        <v>2.5649999999999999</v>
      </c>
      <c r="I61" s="1">
        <v>523.33000000000004</v>
      </c>
      <c r="K61" s="90">
        <v>559.5</v>
      </c>
      <c r="L61" s="1">
        <v>30.8</v>
      </c>
      <c r="M61" s="1">
        <v>7.7</v>
      </c>
      <c r="N61" s="1">
        <v>1449.9</v>
      </c>
      <c r="O61" s="1">
        <v>292.5</v>
      </c>
      <c r="P61" s="1">
        <v>1732.4</v>
      </c>
      <c r="Q61" s="1">
        <v>12569</v>
      </c>
      <c r="R61" s="1">
        <v>12321</v>
      </c>
      <c r="S61" s="76">
        <v>1.222E-2</v>
      </c>
      <c r="T61" s="122">
        <v>5.5E-2</v>
      </c>
      <c r="U61" s="123">
        <v>6.8000000000000005E-2</v>
      </c>
    </row>
    <row r="62" spans="1:21">
      <c r="A62" s="121">
        <v>58</v>
      </c>
      <c r="B62" s="1">
        <v>1033.5</v>
      </c>
      <c r="C62" s="1" t="s">
        <v>38</v>
      </c>
      <c r="D62" s="1">
        <v>1040</v>
      </c>
      <c r="E62" s="1">
        <v>54</v>
      </c>
      <c r="F62" s="1">
        <v>3.5129999999999999</v>
      </c>
      <c r="G62" s="1">
        <v>7</v>
      </c>
      <c r="H62" s="1">
        <v>3.5129999999999999</v>
      </c>
      <c r="I62" s="1">
        <v>523.41</v>
      </c>
      <c r="K62" s="90">
        <v>591.29999999999995</v>
      </c>
      <c r="L62" s="1">
        <v>31.6</v>
      </c>
      <c r="M62" s="1">
        <v>10.54</v>
      </c>
      <c r="N62" s="1">
        <v>1450.1</v>
      </c>
      <c r="O62" s="1">
        <v>530</v>
      </c>
      <c r="P62" s="1">
        <v>1980.1</v>
      </c>
      <c r="Q62" s="1">
        <v>16609</v>
      </c>
      <c r="R62" s="1">
        <v>16144</v>
      </c>
      <c r="S62" s="76">
        <v>1.2800000000000001E-2</v>
      </c>
      <c r="T62" s="122">
        <v>5.5E-2</v>
      </c>
      <c r="U62" s="123">
        <v>6.7000000000000004E-2</v>
      </c>
    </row>
    <row r="63" spans="1:21">
      <c r="A63" s="121">
        <v>59</v>
      </c>
      <c r="B63" s="1">
        <v>1113</v>
      </c>
      <c r="C63" s="1" t="s">
        <v>57</v>
      </c>
      <c r="D63" s="1">
        <v>1070</v>
      </c>
      <c r="E63" s="1">
        <v>45</v>
      </c>
      <c r="F63" s="1">
        <v>3.9950000000000001</v>
      </c>
      <c r="G63" s="1">
        <v>7</v>
      </c>
      <c r="H63" s="1">
        <v>2.6640000000000001</v>
      </c>
      <c r="I63" s="1">
        <v>564.07000000000005</v>
      </c>
      <c r="K63" s="90">
        <v>603.1</v>
      </c>
      <c r="L63" s="1">
        <v>32</v>
      </c>
      <c r="M63" s="1">
        <v>7.99</v>
      </c>
      <c r="N63" s="1">
        <v>1562.8</v>
      </c>
      <c r="O63" s="1">
        <v>304.8</v>
      </c>
      <c r="P63" s="1">
        <v>1867.6</v>
      </c>
      <c r="Q63" s="1">
        <v>13552</v>
      </c>
      <c r="R63" s="1">
        <v>13284</v>
      </c>
      <c r="S63" s="76">
        <v>1.269E-2</v>
      </c>
      <c r="T63" s="122">
        <v>5.0999999999999997E-2</v>
      </c>
      <c r="U63" s="123">
        <v>6.3E-2</v>
      </c>
    </row>
    <row r="64" spans="1:21">
      <c r="A64" s="121">
        <v>60</v>
      </c>
      <c r="B64" s="1">
        <v>1113</v>
      </c>
      <c r="C64" s="1" t="s">
        <v>58</v>
      </c>
      <c r="D64" s="1">
        <v>1100</v>
      </c>
      <c r="E64" s="1">
        <v>54</v>
      </c>
      <c r="F64" s="1">
        <v>3.6469999999999998</v>
      </c>
      <c r="G64" s="1">
        <v>19</v>
      </c>
      <c r="H64" s="1">
        <v>2.1890000000000001</v>
      </c>
      <c r="I64" s="1">
        <v>564.1</v>
      </c>
      <c r="K64" s="90">
        <v>635.6</v>
      </c>
      <c r="L64" s="1">
        <v>32.799999999999997</v>
      </c>
      <c r="M64" s="1">
        <v>10.95</v>
      </c>
      <c r="N64" s="1">
        <v>1570.5</v>
      </c>
      <c r="O64" s="1">
        <v>559.6</v>
      </c>
      <c r="P64" s="1">
        <v>2130.1</v>
      </c>
      <c r="Q64" s="1">
        <v>17724</v>
      </c>
      <c r="R64" s="1">
        <v>17250</v>
      </c>
      <c r="S64" s="76">
        <v>1.329E-2</v>
      </c>
      <c r="T64" s="122">
        <v>5.0999999999999997E-2</v>
      </c>
      <c r="U64" s="123">
        <v>6.3E-2</v>
      </c>
    </row>
    <row r="65" spans="1:21">
      <c r="A65" s="121">
        <v>61</v>
      </c>
      <c r="B65" s="1">
        <v>1192.5</v>
      </c>
      <c r="C65" s="1" t="s">
        <v>59</v>
      </c>
      <c r="D65" s="1">
        <v>1120</v>
      </c>
      <c r="E65" s="1">
        <v>45</v>
      </c>
      <c r="F65" s="1">
        <v>4.1349999999999998</v>
      </c>
      <c r="G65" s="1">
        <v>7</v>
      </c>
      <c r="H65" s="1">
        <v>2.7559999999999998</v>
      </c>
      <c r="I65" s="1">
        <v>604.29999999999995</v>
      </c>
      <c r="K65" s="90">
        <v>646.1</v>
      </c>
      <c r="L65" s="1">
        <v>33.1</v>
      </c>
      <c r="M65" s="1">
        <v>8.27</v>
      </c>
      <c r="N65" s="1">
        <v>1674.3</v>
      </c>
      <c r="O65" s="1">
        <v>326.2</v>
      </c>
      <c r="P65" s="1">
        <v>2000.5</v>
      </c>
      <c r="Q65" s="1">
        <v>14513</v>
      </c>
      <c r="R65" s="1">
        <v>14227</v>
      </c>
      <c r="S65" s="76">
        <v>1.3129999999999999E-2</v>
      </c>
      <c r="T65" s="122">
        <v>4.8000000000000001E-2</v>
      </c>
      <c r="U65" s="123">
        <v>5.8999999999999997E-2</v>
      </c>
    </row>
    <row r="66" spans="1:21">
      <c r="A66" s="121">
        <v>62</v>
      </c>
      <c r="B66" s="1">
        <v>1192.5</v>
      </c>
      <c r="C66" s="1" t="s">
        <v>60</v>
      </c>
      <c r="D66" s="1">
        <v>1140</v>
      </c>
      <c r="E66" s="1">
        <v>54</v>
      </c>
      <c r="F66" s="1">
        <v>3.774</v>
      </c>
      <c r="G66" s="1">
        <v>19</v>
      </c>
      <c r="H66" s="1">
        <v>2.266</v>
      </c>
      <c r="I66" s="1">
        <v>604.07000000000005</v>
      </c>
      <c r="K66" s="90">
        <v>680.7</v>
      </c>
      <c r="L66" s="1">
        <v>34</v>
      </c>
      <c r="M66" s="1">
        <v>11.33</v>
      </c>
      <c r="N66" s="1">
        <v>1681.8</v>
      </c>
      <c r="O66" s="1">
        <v>599.70000000000005</v>
      </c>
      <c r="P66" s="1">
        <v>2281.5</v>
      </c>
      <c r="Q66" s="1">
        <v>18987</v>
      </c>
      <c r="R66" s="1">
        <v>18478</v>
      </c>
      <c r="S66" s="76">
        <v>1.376E-2</v>
      </c>
      <c r="T66" s="122">
        <v>4.8000000000000001E-2</v>
      </c>
      <c r="U66" s="123">
        <v>5.6000000000000001E-2</v>
      </c>
    </row>
    <row r="67" spans="1:21">
      <c r="A67" s="121">
        <v>63</v>
      </c>
      <c r="B67" s="1">
        <v>1272</v>
      </c>
      <c r="C67" s="1" t="s">
        <v>61</v>
      </c>
      <c r="D67" s="1">
        <v>1160</v>
      </c>
      <c r="E67" s="1">
        <v>45</v>
      </c>
      <c r="F67" s="1">
        <v>4.2699999999999996</v>
      </c>
      <c r="G67" s="1">
        <v>7</v>
      </c>
      <c r="H67" s="1">
        <v>2.847</v>
      </c>
      <c r="I67" s="1">
        <v>644.4</v>
      </c>
      <c r="K67" s="90">
        <v>689</v>
      </c>
      <c r="L67" s="1">
        <v>34.200000000000003</v>
      </c>
      <c r="M67" s="1">
        <v>8.5399999999999991</v>
      </c>
      <c r="N67" s="1">
        <v>1785.4</v>
      </c>
      <c r="O67" s="1">
        <v>348.1</v>
      </c>
      <c r="P67" s="1">
        <v>2133.4</v>
      </c>
      <c r="Q67" s="1">
        <v>15480</v>
      </c>
      <c r="R67" s="1">
        <v>15175</v>
      </c>
      <c r="S67" s="76">
        <v>1.3559999999999999E-2</v>
      </c>
      <c r="T67" s="122">
        <v>4.4999999999999998E-2</v>
      </c>
      <c r="U67" s="123">
        <v>5.6000000000000001E-2</v>
      </c>
    </row>
    <row r="68" spans="1:21">
      <c r="A68" s="121">
        <v>64</v>
      </c>
      <c r="B68" s="1">
        <v>1272</v>
      </c>
      <c r="C68" s="1" t="s">
        <v>62</v>
      </c>
      <c r="D68" s="1">
        <v>1190</v>
      </c>
      <c r="E68" s="1">
        <v>54</v>
      </c>
      <c r="F68" s="1">
        <v>3.899</v>
      </c>
      <c r="G68" s="1">
        <v>19</v>
      </c>
      <c r="H68" s="1">
        <v>2.339</v>
      </c>
      <c r="I68" s="1">
        <v>644.75</v>
      </c>
      <c r="K68" s="90">
        <v>726.4</v>
      </c>
      <c r="L68" s="1">
        <v>35.1</v>
      </c>
      <c r="M68" s="1">
        <v>11.7</v>
      </c>
      <c r="N68" s="1">
        <v>1795</v>
      </c>
      <c r="O68" s="1">
        <v>639</v>
      </c>
      <c r="P68" s="1">
        <v>2434</v>
      </c>
      <c r="Q68" s="1">
        <v>19812</v>
      </c>
      <c r="R68" s="1">
        <v>19270</v>
      </c>
      <c r="S68" s="76">
        <v>1.421E-2</v>
      </c>
      <c r="T68" s="122">
        <v>4.4999999999999998E-2</v>
      </c>
      <c r="U68" s="123">
        <v>5.5E-2</v>
      </c>
    </row>
    <row r="69" spans="1:21">
      <c r="A69" s="121">
        <v>65</v>
      </c>
      <c r="B69" s="1">
        <v>1351</v>
      </c>
      <c r="C69" s="1" t="s">
        <v>63</v>
      </c>
      <c r="D69" s="1">
        <v>1210</v>
      </c>
      <c r="E69" s="1">
        <v>45</v>
      </c>
      <c r="F69" s="1">
        <v>4.4020000000000001</v>
      </c>
      <c r="G69" s="1">
        <v>7</v>
      </c>
      <c r="H69" s="1">
        <v>2.9340000000000002</v>
      </c>
      <c r="I69" s="1">
        <v>684.86</v>
      </c>
      <c r="K69" s="90">
        <v>732.2</v>
      </c>
      <c r="L69" s="1">
        <v>35.200000000000003</v>
      </c>
      <c r="M69" s="1">
        <v>8.8000000000000007</v>
      </c>
      <c r="N69" s="1">
        <v>1897.5</v>
      </c>
      <c r="O69" s="1">
        <v>369.7</v>
      </c>
      <c r="P69" s="1">
        <v>2267.1999999999998</v>
      </c>
      <c r="Q69" s="1">
        <v>16448</v>
      </c>
      <c r="R69" s="1">
        <v>16124</v>
      </c>
      <c r="S69" s="76">
        <v>1.3979999999999999E-2</v>
      </c>
      <c r="T69" s="122">
        <v>4.2000000000000003E-2</v>
      </c>
      <c r="U69" s="123">
        <v>5.2999999999999999E-2</v>
      </c>
    </row>
    <row r="70" spans="1:21">
      <c r="A70" s="121">
        <v>66</v>
      </c>
      <c r="B70" s="1">
        <v>1351</v>
      </c>
      <c r="C70" s="1" t="s">
        <v>64</v>
      </c>
      <c r="D70" s="1">
        <v>1230</v>
      </c>
      <c r="E70" s="1">
        <v>54</v>
      </c>
      <c r="F70" s="1">
        <v>4.0179999999999998</v>
      </c>
      <c r="G70" s="1">
        <v>19</v>
      </c>
      <c r="H70" s="1">
        <v>2.41</v>
      </c>
      <c r="I70" s="1">
        <v>684.71</v>
      </c>
      <c r="K70" s="90">
        <v>771.4</v>
      </c>
      <c r="L70" s="1">
        <v>36.200000000000003</v>
      </c>
      <c r="M70" s="1">
        <v>12.05</v>
      </c>
      <c r="N70" s="1">
        <v>1906.3</v>
      </c>
      <c r="O70" s="1">
        <v>678.4</v>
      </c>
      <c r="P70" s="1">
        <v>2584.6</v>
      </c>
      <c r="Q70" s="1">
        <v>21036</v>
      </c>
      <c r="R70" s="1">
        <v>20461</v>
      </c>
      <c r="S70" s="76">
        <v>1.464E-2</v>
      </c>
      <c r="T70" s="122">
        <v>4.2000000000000003E-2</v>
      </c>
      <c r="U70" s="123">
        <v>5.1999999999999998E-2</v>
      </c>
    </row>
    <row r="71" spans="1:21">
      <c r="A71" s="121">
        <v>67</v>
      </c>
      <c r="B71" s="1">
        <v>1431</v>
      </c>
      <c r="C71" s="1" t="s">
        <v>65</v>
      </c>
      <c r="D71" s="1">
        <v>1250</v>
      </c>
      <c r="E71" s="1">
        <v>45</v>
      </c>
      <c r="F71" s="1">
        <v>4.5289999999999999</v>
      </c>
      <c r="G71" s="1">
        <v>7</v>
      </c>
      <c r="H71" s="1">
        <v>3.02</v>
      </c>
      <c r="I71" s="1">
        <v>724.95</v>
      </c>
      <c r="K71" s="90">
        <v>775.1</v>
      </c>
      <c r="L71" s="1">
        <v>36.200000000000003</v>
      </c>
      <c r="M71" s="1">
        <v>9.06</v>
      </c>
      <c r="N71" s="1">
        <v>2008.5</v>
      </c>
      <c r="O71" s="1">
        <v>391.7</v>
      </c>
      <c r="P71" s="1">
        <v>2400.1999999999998</v>
      </c>
      <c r="Q71" s="1">
        <v>17416</v>
      </c>
      <c r="R71" s="1">
        <v>17073</v>
      </c>
      <c r="S71" s="76">
        <v>1.438E-2</v>
      </c>
      <c r="T71" s="122">
        <v>0.04</v>
      </c>
      <c r="U71" s="123">
        <v>0.05</v>
      </c>
    </row>
    <row r="72" spans="1:21">
      <c r="A72" s="121">
        <v>68</v>
      </c>
      <c r="B72" s="1">
        <v>1431</v>
      </c>
      <c r="C72" s="1" t="s">
        <v>66</v>
      </c>
      <c r="D72" s="1">
        <v>1280</v>
      </c>
      <c r="E72" s="1">
        <v>54</v>
      </c>
      <c r="F72" s="1">
        <v>4.1349999999999998</v>
      </c>
      <c r="G72" s="1">
        <v>19</v>
      </c>
      <c r="H72" s="1">
        <v>2.4820000000000002</v>
      </c>
      <c r="I72" s="1">
        <v>725.16</v>
      </c>
      <c r="K72" s="90">
        <v>817.1</v>
      </c>
      <c r="L72" s="1">
        <v>37.200000000000003</v>
      </c>
      <c r="M72" s="1">
        <v>12.41</v>
      </c>
      <c r="N72" s="1">
        <v>2018.9</v>
      </c>
      <c r="O72" s="1">
        <v>719.5</v>
      </c>
      <c r="P72" s="1">
        <v>2738.4</v>
      </c>
      <c r="Q72" s="1">
        <v>22296</v>
      </c>
      <c r="R72" s="1">
        <v>21685</v>
      </c>
      <c r="S72" s="76">
        <v>1.507E-2</v>
      </c>
      <c r="T72" s="122">
        <v>0.04</v>
      </c>
      <c r="U72" s="123">
        <v>0.05</v>
      </c>
    </row>
    <row r="73" spans="1:21">
      <c r="A73" s="121">
        <v>69</v>
      </c>
      <c r="B73" s="1">
        <v>1510</v>
      </c>
      <c r="C73" s="1" t="s">
        <v>67</v>
      </c>
      <c r="D73" s="1">
        <v>1300</v>
      </c>
      <c r="E73" s="1">
        <v>45</v>
      </c>
      <c r="F73" s="1">
        <v>4.6529999999999996</v>
      </c>
      <c r="G73" s="1">
        <v>7</v>
      </c>
      <c r="H73" s="1">
        <v>3.101</v>
      </c>
      <c r="I73" s="1">
        <v>765.19</v>
      </c>
      <c r="K73" s="90">
        <v>818.1</v>
      </c>
      <c r="L73" s="1">
        <v>37.200000000000003</v>
      </c>
      <c r="M73" s="1">
        <v>9.3000000000000007</v>
      </c>
      <c r="N73" s="1">
        <v>2120</v>
      </c>
      <c r="O73" s="1">
        <v>413</v>
      </c>
      <c r="P73" s="1">
        <v>2533</v>
      </c>
      <c r="Q73" s="1">
        <v>18169</v>
      </c>
      <c r="R73" s="1">
        <v>17807</v>
      </c>
      <c r="S73" s="76">
        <v>1.477E-2</v>
      </c>
      <c r="T73" s="122">
        <v>3.7999999999999999E-2</v>
      </c>
      <c r="U73" s="123">
        <v>4.8000000000000001E-2</v>
      </c>
    </row>
    <row r="74" spans="1:21">
      <c r="A74" s="121">
        <v>70</v>
      </c>
      <c r="B74" s="1">
        <v>1510</v>
      </c>
      <c r="C74" s="1" t="s">
        <v>68</v>
      </c>
      <c r="D74" s="1">
        <v>1320</v>
      </c>
      <c r="E74" s="1">
        <v>54</v>
      </c>
      <c r="F74" s="1">
        <v>4.2469999999999999</v>
      </c>
      <c r="G74" s="1">
        <v>19</v>
      </c>
      <c r="H74" s="1">
        <v>2.548</v>
      </c>
      <c r="I74" s="1">
        <v>764.98</v>
      </c>
      <c r="K74" s="90">
        <v>861.9</v>
      </c>
      <c r="L74" s="1">
        <v>38.200000000000003</v>
      </c>
      <c r="M74" s="1">
        <v>12.74</v>
      </c>
      <c r="N74" s="1">
        <v>2129.8000000000002</v>
      </c>
      <c r="O74" s="1">
        <v>758.3</v>
      </c>
      <c r="P74" s="1">
        <v>2888</v>
      </c>
      <c r="Q74" s="1">
        <v>23508</v>
      </c>
      <c r="R74" s="1">
        <v>22865</v>
      </c>
      <c r="S74" s="76">
        <v>1.5480000000000001E-2</v>
      </c>
      <c r="T74" s="122">
        <v>3.7999999999999999E-2</v>
      </c>
      <c r="U74" s="123">
        <v>4.7E-2</v>
      </c>
    </row>
    <row r="75" spans="1:21">
      <c r="A75" s="121">
        <v>71</v>
      </c>
      <c r="B75" s="1">
        <v>1590</v>
      </c>
      <c r="C75" s="1" t="s">
        <v>69</v>
      </c>
      <c r="D75" s="1">
        <v>1340</v>
      </c>
      <c r="E75" s="1">
        <v>45</v>
      </c>
      <c r="F75" s="1">
        <v>4.7750000000000004</v>
      </c>
      <c r="G75" s="1">
        <v>7</v>
      </c>
      <c r="H75" s="1">
        <v>3.1829999999999998</v>
      </c>
      <c r="I75" s="1">
        <v>805.84</v>
      </c>
      <c r="K75" s="90">
        <v>861.5</v>
      </c>
      <c r="L75" s="1">
        <v>38.200000000000003</v>
      </c>
      <c r="M75" s="1">
        <v>9.5500000000000007</v>
      </c>
      <c r="N75" s="1">
        <v>2232.6</v>
      </c>
      <c r="O75" s="1">
        <v>435.1</v>
      </c>
      <c r="P75" s="1">
        <v>2667.7</v>
      </c>
      <c r="Q75" s="1">
        <v>19137</v>
      </c>
      <c r="R75" s="1">
        <v>18755</v>
      </c>
      <c r="S75" s="76">
        <v>1.516E-2</v>
      </c>
      <c r="T75" s="122">
        <v>3.5999999999999997E-2</v>
      </c>
      <c r="U75" s="123">
        <v>4.4999999999999998E-2</v>
      </c>
    </row>
    <row r="76" spans="1:21">
      <c r="A76" s="121">
        <v>72</v>
      </c>
      <c r="B76" s="1">
        <v>1590</v>
      </c>
      <c r="C76" s="1" t="s">
        <v>70</v>
      </c>
      <c r="D76" s="1">
        <v>1360</v>
      </c>
      <c r="E76" s="1">
        <v>54</v>
      </c>
      <c r="F76" s="1">
        <v>4.359</v>
      </c>
      <c r="G76" s="1">
        <v>19</v>
      </c>
      <c r="H76" s="1">
        <v>2.6160000000000001</v>
      </c>
      <c r="I76" s="1">
        <v>805.86</v>
      </c>
      <c r="K76" s="90">
        <v>908</v>
      </c>
      <c r="L76" s="1">
        <v>39.200000000000003</v>
      </c>
      <c r="M76" s="1">
        <v>13.08</v>
      </c>
      <c r="N76" s="1">
        <v>2243.6</v>
      </c>
      <c r="O76" s="1">
        <v>799.3</v>
      </c>
      <c r="P76" s="1">
        <v>3042.9</v>
      </c>
      <c r="Q76" s="1">
        <v>24772</v>
      </c>
      <c r="R76" s="1">
        <v>24094</v>
      </c>
      <c r="S76" s="76">
        <v>1.5890000000000001E-2</v>
      </c>
      <c r="T76" s="122">
        <v>3.5999999999999997E-2</v>
      </c>
      <c r="U76" s="123">
        <v>4.4999999999999998E-2</v>
      </c>
    </row>
    <row r="77" spans="1:21">
      <c r="A77" s="121">
        <v>73</v>
      </c>
      <c r="B77" s="1">
        <v>1780</v>
      </c>
      <c r="C77" s="1" t="s">
        <v>71</v>
      </c>
      <c r="D77" s="1">
        <v>1460</v>
      </c>
      <c r="E77" s="1">
        <v>84</v>
      </c>
      <c r="F77" s="1">
        <v>3.698</v>
      </c>
      <c r="G77" s="1">
        <v>19</v>
      </c>
      <c r="H77" s="1">
        <v>2.2200000000000002</v>
      </c>
      <c r="I77" s="1">
        <v>902.2</v>
      </c>
      <c r="K77" s="90">
        <v>975.7</v>
      </c>
      <c r="L77" s="1">
        <v>40.700000000000003</v>
      </c>
      <c r="M77" s="1">
        <v>11.1</v>
      </c>
      <c r="N77" s="1">
        <v>2511.8000000000002</v>
      </c>
      <c r="O77" s="1">
        <v>575.6</v>
      </c>
      <c r="P77" s="1">
        <v>3087.4</v>
      </c>
      <c r="Q77" s="1">
        <v>23121</v>
      </c>
      <c r="R77" s="1">
        <v>22633</v>
      </c>
      <c r="S77" s="76">
        <v>1.6279999999999999E-2</v>
      </c>
      <c r="T77" s="122">
        <v>3.2000000000000001E-2</v>
      </c>
      <c r="U77" s="123">
        <v>4.1000000000000002E-2</v>
      </c>
    </row>
    <row r="78" spans="1:21">
      <c r="A78" s="121">
        <v>74</v>
      </c>
      <c r="B78" s="1">
        <v>2156</v>
      </c>
      <c r="C78" s="1" t="s">
        <v>72</v>
      </c>
      <c r="D78" s="1">
        <v>1630</v>
      </c>
      <c r="E78" s="1">
        <v>84</v>
      </c>
      <c r="F78" s="1">
        <v>4.069</v>
      </c>
      <c r="G78" s="1">
        <v>19</v>
      </c>
      <c r="H78" s="1">
        <v>2.4409999999999998</v>
      </c>
      <c r="I78" s="124">
        <v>1092.31</v>
      </c>
      <c r="K78" s="90">
        <v>1181.2</v>
      </c>
      <c r="L78" s="1">
        <v>44.8</v>
      </c>
      <c r="M78" s="1">
        <v>12.21</v>
      </c>
      <c r="N78" s="1">
        <v>3041.1</v>
      </c>
      <c r="O78" s="1">
        <v>695.9</v>
      </c>
      <c r="P78" s="1">
        <v>3737</v>
      </c>
      <c r="Q78" s="1">
        <v>27384</v>
      </c>
      <c r="R78" s="1">
        <v>26794</v>
      </c>
      <c r="S78" s="76">
        <v>1.7909999999999999E-2</v>
      </c>
      <c r="T78" s="122">
        <v>2.7E-2</v>
      </c>
      <c r="U78" s="123">
        <v>3.4000000000000002E-2</v>
      </c>
    </row>
    <row r="79" spans="1:21">
      <c r="A79" s="121">
        <v>75</v>
      </c>
      <c r="B79" s="1">
        <v>2167</v>
      </c>
      <c r="C79" s="1" t="s">
        <v>73</v>
      </c>
      <c r="D79" s="1">
        <v>1610</v>
      </c>
      <c r="E79" s="1">
        <v>72</v>
      </c>
      <c r="F79" s="1">
        <v>4.407</v>
      </c>
      <c r="G79" s="1">
        <v>7</v>
      </c>
      <c r="H79" s="1">
        <v>2.9390000000000001</v>
      </c>
      <c r="I79" s="124">
        <v>1098.27</v>
      </c>
      <c r="K79" s="90">
        <v>1145.8</v>
      </c>
      <c r="L79" s="1">
        <v>44.1</v>
      </c>
      <c r="M79" s="1">
        <v>8.82</v>
      </c>
      <c r="N79" s="1">
        <v>3057.7</v>
      </c>
      <c r="O79" s="1">
        <v>370.9</v>
      </c>
      <c r="P79" s="1">
        <v>3428.6</v>
      </c>
      <c r="Q79" s="1">
        <v>22632</v>
      </c>
      <c r="R79" s="1">
        <v>22306</v>
      </c>
      <c r="S79" s="76">
        <v>1.738E-2</v>
      </c>
      <c r="T79" s="122">
        <v>2.5999999999999999E-2</v>
      </c>
      <c r="U79" s="123">
        <v>3.5000000000000003E-2</v>
      </c>
    </row>
    <row r="80" spans="1:21" ht="15.75" thickBot="1">
      <c r="A80" s="116">
        <v>76</v>
      </c>
      <c r="B80" s="125">
        <v>2312</v>
      </c>
      <c r="C80" s="125" t="s">
        <v>74</v>
      </c>
      <c r="D80" s="125">
        <v>1680</v>
      </c>
      <c r="E80" s="125">
        <v>76</v>
      </c>
      <c r="F80" s="125">
        <v>4.43</v>
      </c>
      <c r="G80" s="125">
        <v>19</v>
      </c>
      <c r="H80" s="125">
        <v>2.0680000000000001</v>
      </c>
      <c r="I80" s="126">
        <v>1171.42</v>
      </c>
      <c r="J80" s="125"/>
      <c r="K80" s="127">
        <v>1235.2</v>
      </c>
      <c r="L80" s="125">
        <v>45.8</v>
      </c>
      <c r="M80" s="125">
        <v>10.34</v>
      </c>
      <c r="N80" s="125">
        <v>3261.3</v>
      </c>
      <c r="O80" s="125">
        <v>499.5</v>
      </c>
      <c r="P80" s="125">
        <v>3760.8</v>
      </c>
      <c r="Q80" s="125">
        <v>25721</v>
      </c>
      <c r="R80" s="125">
        <v>25297</v>
      </c>
      <c r="S80" s="128">
        <v>1.8149999999999999E-2</v>
      </c>
      <c r="T80" s="129">
        <v>2.5000000000000001E-2</v>
      </c>
      <c r="U80" s="130">
        <v>3.3000000000000002E-2</v>
      </c>
    </row>
  </sheetData>
  <sortState xmlns:xlrd2="http://schemas.microsoft.com/office/spreadsheetml/2017/richdata2" ref="V5:AN10">
    <sortCondition ref="AC5:AC10"/>
  </sortState>
  <mergeCells count="21">
    <mergeCell ref="S1:S3"/>
    <mergeCell ref="U1:U3"/>
    <mergeCell ref="T1:T3"/>
    <mergeCell ref="I1:K1"/>
    <mergeCell ref="K2:K3"/>
    <mergeCell ref="N1:N3"/>
    <mergeCell ref="O1:O3"/>
    <mergeCell ref="P1:P3"/>
    <mergeCell ref="Q1:Q3"/>
    <mergeCell ref="R1:R3"/>
    <mergeCell ref="I2:I3"/>
    <mergeCell ref="J2:J3"/>
    <mergeCell ref="A1:A3"/>
    <mergeCell ref="C1:C3"/>
    <mergeCell ref="L1:L3"/>
    <mergeCell ref="M1:M3"/>
    <mergeCell ref="B1:B3"/>
    <mergeCell ref="E1:H1"/>
    <mergeCell ref="E2:F2"/>
    <mergeCell ref="G2:H2"/>
    <mergeCell ref="D1:D3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AF63"/>
  <sheetViews>
    <sheetView workbookViewId="0">
      <pane xSplit="3" ySplit="4" topLeftCell="D29" activePane="bottomRight" state="frozen"/>
      <selection pane="topRight" activeCell="D1" sqref="D1"/>
      <selection pane="bottomLeft" activeCell="A5" sqref="A5"/>
      <selection pane="bottomRight" activeCell="W37" sqref="W37"/>
    </sheetView>
  </sheetViews>
  <sheetFormatPr defaultRowHeight="15"/>
  <cols>
    <col min="2" max="2" width="6.140625" customWidth="1"/>
    <col min="3" max="3" width="14.28515625" bestFit="1" customWidth="1"/>
    <col min="4" max="4" width="12" customWidth="1"/>
    <col min="5" max="5" width="7.7109375" customWidth="1"/>
    <col min="6" max="6" width="7.140625" customWidth="1"/>
    <col min="7" max="7" width="7.7109375" customWidth="1"/>
    <col min="8" max="8" width="7.140625" customWidth="1"/>
    <col min="9" max="9" width="2.85546875" customWidth="1"/>
    <col min="10" max="10" width="4.28515625" customWidth="1"/>
    <col min="11" max="11" width="7" customWidth="1"/>
    <col min="12" max="12" width="9" customWidth="1"/>
    <col min="13" max="13" width="9.140625" customWidth="1"/>
    <col min="14" max="14" width="8" customWidth="1"/>
    <col min="15" max="16" width="7.85546875" customWidth="1"/>
    <col min="17" max="19" width="8" customWidth="1"/>
    <col min="20" max="21" width="7.7109375" customWidth="1"/>
    <col min="23" max="23" width="11" bestFit="1" customWidth="1"/>
  </cols>
  <sheetData>
    <row r="1" spans="1:32" ht="17.25">
      <c r="A1" s="489" t="s">
        <v>106</v>
      </c>
      <c r="B1" s="490" t="s">
        <v>156</v>
      </c>
      <c r="C1" s="489" t="s">
        <v>27</v>
      </c>
      <c r="D1" s="490" t="s">
        <v>77</v>
      </c>
      <c r="E1" s="489" t="s">
        <v>28</v>
      </c>
      <c r="F1" s="489"/>
      <c r="G1" s="489"/>
      <c r="H1" s="489"/>
      <c r="I1" s="489" t="s">
        <v>34</v>
      </c>
      <c r="J1" s="489"/>
      <c r="K1" s="489"/>
      <c r="L1" s="490" t="s">
        <v>75</v>
      </c>
      <c r="M1" s="490" t="s">
        <v>76</v>
      </c>
      <c r="N1" s="490" t="s">
        <v>283</v>
      </c>
      <c r="O1" s="490" t="s">
        <v>284</v>
      </c>
      <c r="P1" s="490" t="s">
        <v>285</v>
      </c>
      <c r="Q1" s="490" t="s">
        <v>286</v>
      </c>
      <c r="R1" s="490" t="s">
        <v>287</v>
      </c>
      <c r="S1" s="490" t="s">
        <v>78</v>
      </c>
      <c r="T1" s="490" t="s">
        <v>79</v>
      </c>
      <c r="U1" s="490" t="s">
        <v>80</v>
      </c>
      <c r="V1" s="5" t="s">
        <v>165</v>
      </c>
      <c r="W1" s="5">
        <v>15</v>
      </c>
    </row>
    <row r="2" spans="1:32">
      <c r="A2" s="489"/>
      <c r="B2" s="490"/>
      <c r="C2" s="489"/>
      <c r="D2" s="489"/>
      <c r="E2" s="489" t="s">
        <v>35</v>
      </c>
      <c r="F2" s="489"/>
      <c r="G2" s="489" t="s">
        <v>36</v>
      </c>
      <c r="H2" s="489"/>
      <c r="I2" s="489" t="s">
        <v>29</v>
      </c>
      <c r="J2" s="489" t="s">
        <v>30</v>
      </c>
      <c r="K2" s="489" t="s">
        <v>96</v>
      </c>
      <c r="L2" s="489"/>
      <c r="M2" s="489"/>
      <c r="N2" s="489"/>
      <c r="O2" s="489"/>
      <c r="P2" s="489"/>
      <c r="Q2" s="489"/>
      <c r="R2" s="489"/>
      <c r="S2" s="489"/>
      <c r="T2" s="489"/>
      <c r="U2" s="489"/>
      <c r="V2" s="92" t="s">
        <v>382</v>
      </c>
      <c r="W2" s="56" t="s">
        <v>383</v>
      </c>
      <c r="X2" s="56" t="s">
        <v>349</v>
      </c>
      <c r="Y2" s="56" t="s">
        <v>384</v>
      </c>
      <c r="Z2" s="56" t="s">
        <v>385</v>
      </c>
      <c r="AA2" s="56" t="s">
        <v>165</v>
      </c>
      <c r="AB2" s="56" t="s">
        <v>27</v>
      </c>
    </row>
    <row r="3" spans="1:32" ht="17.25">
      <c r="A3" s="489"/>
      <c r="B3" s="490"/>
      <c r="C3" s="489"/>
      <c r="D3" s="489"/>
      <c r="E3" s="1" t="s">
        <v>33</v>
      </c>
      <c r="F3" s="1" t="s">
        <v>32</v>
      </c>
      <c r="G3" s="1" t="s">
        <v>33</v>
      </c>
      <c r="H3" s="1" t="s">
        <v>32</v>
      </c>
      <c r="I3" s="489"/>
      <c r="J3" s="489"/>
      <c r="K3" s="489"/>
      <c r="L3" s="489"/>
      <c r="M3" s="489"/>
      <c r="N3" s="489"/>
      <c r="O3" s="489"/>
      <c r="P3" s="489"/>
      <c r="Q3" s="489"/>
      <c r="R3" s="489"/>
      <c r="S3" s="489"/>
      <c r="T3" s="489"/>
      <c r="U3" s="489"/>
      <c r="V3" s="5">
        <v>11</v>
      </c>
      <c r="W3" s="5">
        <v>4</v>
      </c>
      <c r="X3" s="5">
        <v>12</v>
      </c>
      <c r="Y3" s="5">
        <v>19</v>
      </c>
      <c r="Z3" s="5">
        <v>21</v>
      </c>
      <c r="AA3" s="5">
        <v>2</v>
      </c>
      <c r="AB3" s="5">
        <v>3</v>
      </c>
    </row>
    <row r="4" spans="1:32">
      <c r="A4" s="1">
        <v>1</v>
      </c>
      <c r="B4" s="1">
        <v>2</v>
      </c>
      <c r="C4" s="1">
        <v>3</v>
      </c>
      <c r="D4" s="1">
        <v>4</v>
      </c>
      <c r="E4" s="1">
        <v>5</v>
      </c>
      <c r="F4" s="1">
        <v>6</v>
      </c>
      <c r="G4" s="1">
        <v>7</v>
      </c>
      <c r="H4" s="1">
        <v>8</v>
      </c>
      <c r="I4" s="1">
        <v>9</v>
      </c>
      <c r="J4" s="1">
        <v>10</v>
      </c>
      <c r="K4" s="1">
        <v>11</v>
      </c>
      <c r="L4" s="1">
        <v>12</v>
      </c>
      <c r="M4" s="1">
        <v>13</v>
      </c>
      <c r="N4" s="1">
        <v>14</v>
      </c>
      <c r="O4" s="1">
        <v>15</v>
      </c>
      <c r="P4" s="1">
        <v>16</v>
      </c>
      <c r="Q4" s="1">
        <v>17</v>
      </c>
      <c r="R4" s="1">
        <v>18</v>
      </c>
      <c r="S4" s="1">
        <v>19</v>
      </c>
      <c r="T4" s="1">
        <v>20</v>
      </c>
      <c r="U4" s="1">
        <v>21</v>
      </c>
      <c r="V4" s="113" cm="1">
        <f t="array" ref="V4">INDEX($A$5:$U$62,$W$1,V3)</f>
        <v>170.58</v>
      </c>
      <c r="W4" s="113" cm="1">
        <f t="array" ref="W4">INDEX($A$5:$U$62,$W$1,W3)</f>
        <v>510</v>
      </c>
      <c r="X4" s="113" cm="1">
        <f t="array" ref="X4">INDEX($A$5:$U$62,$W$1,X3)</f>
        <v>16.899999999999999</v>
      </c>
      <c r="Y4" s="113" cm="1">
        <f t="array" ref="Y4">INDEX($A$5:$U$62,$W$1,Y3)</f>
        <v>6.4000000000000003E-3</v>
      </c>
      <c r="Z4" s="113" cm="1">
        <f t="array" ref="Z4">INDEX($A$5:$U$62,$W$1,Z3)</f>
        <v>0.20599999999999999</v>
      </c>
      <c r="AA4" s="113" cm="1">
        <f t="array" ref="AA4">INDEX($A$5:$U$62,$W$1,AA3)</f>
        <v>336</v>
      </c>
      <c r="AB4" s="113" t="str" cm="1">
        <f t="array" ref="AB4">INDEX($A$5:$U$62,$W$1,AB3)</f>
        <v>Tulip</v>
      </c>
    </row>
    <row r="5" spans="1:32">
      <c r="A5" s="1">
        <v>1</v>
      </c>
      <c r="B5" s="1">
        <v>6</v>
      </c>
      <c r="C5" s="1" t="s">
        <v>97</v>
      </c>
      <c r="D5" s="1">
        <v>110</v>
      </c>
      <c r="E5" s="1">
        <v>7</v>
      </c>
      <c r="F5" s="1">
        <v>1.554</v>
      </c>
      <c r="G5" s="1"/>
      <c r="H5" s="1"/>
      <c r="I5" s="1"/>
      <c r="J5" s="1"/>
      <c r="K5" s="1">
        <v>13.28</v>
      </c>
      <c r="L5" s="1">
        <v>4.7</v>
      </c>
      <c r="M5" s="1"/>
      <c r="N5" s="1">
        <v>36.6</v>
      </c>
      <c r="O5" s="1"/>
      <c r="P5" s="1">
        <v>36.6</v>
      </c>
      <c r="Q5" s="1">
        <v>255</v>
      </c>
      <c r="R5" s="1"/>
      <c r="S5" s="76">
        <v>1.6900000000000001E-3</v>
      </c>
      <c r="T5" s="76">
        <v>2.1640000000000001</v>
      </c>
      <c r="U5" s="76">
        <v>2.6440000000000001</v>
      </c>
    </row>
    <row r="6" spans="1:32">
      <c r="A6" s="1">
        <v>2</v>
      </c>
      <c r="B6" s="1">
        <v>4</v>
      </c>
      <c r="C6" s="1" t="s">
        <v>98</v>
      </c>
      <c r="D6" s="1">
        <v>140</v>
      </c>
      <c r="E6" s="1">
        <v>7</v>
      </c>
      <c r="F6" s="1">
        <v>1.9610000000000001</v>
      </c>
      <c r="G6" s="1"/>
      <c r="H6" s="1"/>
      <c r="I6" s="1"/>
      <c r="J6" s="1"/>
      <c r="K6" s="1">
        <v>21.14</v>
      </c>
      <c r="L6" s="1">
        <v>5.9</v>
      </c>
      <c r="M6" s="1"/>
      <c r="N6" s="1">
        <v>58.3</v>
      </c>
      <c r="O6" s="1"/>
      <c r="P6" s="1">
        <v>58.3</v>
      </c>
      <c r="Q6" s="1">
        <v>399</v>
      </c>
      <c r="R6" s="1"/>
      <c r="S6" s="76">
        <v>2.1299999999999999E-3</v>
      </c>
      <c r="T6" s="76">
        <v>1.359</v>
      </c>
      <c r="U6" s="76">
        <v>1.6619999999999999</v>
      </c>
    </row>
    <row r="7" spans="1:32">
      <c r="A7" s="1">
        <v>3</v>
      </c>
      <c r="B7" s="1">
        <v>3</v>
      </c>
      <c r="C7" s="1" t="s">
        <v>99</v>
      </c>
      <c r="D7" s="1">
        <v>170</v>
      </c>
      <c r="E7" s="1">
        <v>7</v>
      </c>
      <c r="F7" s="1">
        <v>2.2029999999999998</v>
      </c>
      <c r="G7" s="1"/>
      <c r="H7" s="1"/>
      <c r="I7" s="1"/>
      <c r="J7" s="1"/>
      <c r="K7" s="1">
        <v>26.68</v>
      </c>
      <c r="L7" s="1">
        <v>6.6</v>
      </c>
      <c r="M7" s="1"/>
      <c r="N7" s="1">
        <v>73.599999999999994</v>
      </c>
      <c r="O7" s="1"/>
      <c r="P7" s="1">
        <v>73.599999999999994</v>
      </c>
      <c r="Q7" s="1">
        <v>495</v>
      </c>
      <c r="R7" s="1"/>
      <c r="S7" s="76">
        <v>2.3999999999999998E-3</v>
      </c>
      <c r="T7" s="76">
        <v>1.077</v>
      </c>
      <c r="U7" s="76">
        <v>1.3169999999999999</v>
      </c>
      <c r="W7" s="1">
        <v>110</v>
      </c>
    </row>
    <row r="8" spans="1:32">
      <c r="A8" s="1">
        <v>4</v>
      </c>
      <c r="B8" s="1">
        <v>2</v>
      </c>
      <c r="C8" s="1" t="s">
        <v>100</v>
      </c>
      <c r="D8" s="1">
        <v>190</v>
      </c>
      <c r="E8" s="1">
        <v>7</v>
      </c>
      <c r="F8" s="1">
        <v>2.4740000000000002</v>
      </c>
      <c r="G8" s="1"/>
      <c r="H8" s="1"/>
      <c r="I8" s="1"/>
      <c r="J8" s="1"/>
      <c r="K8" s="1">
        <v>33.65</v>
      </c>
      <c r="L8" s="1">
        <v>7.4</v>
      </c>
      <c r="M8" s="1"/>
      <c r="N8" s="1">
        <v>92.8</v>
      </c>
      <c r="O8" s="1"/>
      <c r="P8" s="1">
        <v>92.8</v>
      </c>
      <c r="Q8" s="1">
        <v>613</v>
      </c>
      <c r="R8" s="1"/>
      <c r="S8" s="76">
        <v>2.6900000000000001E-3</v>
      </c>
      <c r="T8" s="76">
        <v>0.85399999999999998</v>
      </c>
      <c r="U8" s="76">
        <v>1.044</v>
      </c>
      <c r="W8" s="1">
        <v>140</v>
      </c>
    </row>
    <row r="9" spans="1:32">
      <c r="A9" s="1">
        <v>5</v>
      </c>
      <c r="B9" s="1">
        <v>1</v>
      </c>
      <c r="C9" s="1" t="s">
        <v>101</v>
      </c>
      <c r="D9" s="1">
        <v>220</v>
      </c>
      <c r="E9" s="1">
        <v>7</v>
      </c>
      <c r="F9" s="1">
        <v>2.7759999999999998</v>
      </c>
      <c r="G9" s="1"/>
      <c r="H9" s="1"/>
      <c r="I9" s="1"/>
      <c r="J9" s="1"/>
      <c r="K9" s="1">
        <v>42.37</v>
      </c>
      <c r="L9" s="1">
        <v>8.3000000000000007</v>
      </c>
      <c r="M9" s="1"/>
      <c r="N9" s="1">
        <v>116.8</v>
      </c>
      <c r="O9" s="1"/>
      <c r="P9" s="1">
        <v>116.8</v>
      </c>
      <c r="Q9" s="1">
        <v>744</v>
      </c>
      <c r="R9" s="1"/>
      <c r="S9" s="76">
        <v>3.0200000000000001E-3</v>
      </c>
      <c r="T9" s="76">
        <v>0.67800000000000005</v>
      </c>
      <c r="U9" s="76">
        <v>0.82899999999999996</v>
      </c>
      <c r="W9" s="1">
        <v>190</v>
      </c>
    </row>
    <row r="10" spans="1:32">
      <c r="A10" s="1">
        <v>6</v>
      </c>
      <c r="B10" s="1" t="s">
        <v>90</v>
      </c>
      <c r="C10" s="1" t="s">
        <v>102</v>
      </c>
      <c r="D10" s="1">
        <v>250</v>
      </c>
      <c r="E10" s="1">
        <v>7</v>
      </c>
      <c r="F10" s="1">
        <v>3.1190000000000002</v>
      </c>
      <c r="G10" s="1"/>
      <c r="H10" s="1"/>
      <c r="I10" s="1"/>
      <c r="J10" s="1"/>
      <c r="K10" s="1">
        <v>53.48</v>
      </c>
      <c r="L10" s="1">
        <v>9.4</v>
      </c>
      <c r="M10" s="1"/>
      <c r="N10" s="1">
        <v>147.5</v>
      </c>
      <c r="O10" s="1"/>
      <c r="P10" s="1">
        <v>147.5</v>
      </c>
      <c r="Q10" s="1">
        <v>903</v>
      </c>
      <c r="R10" s="1"/>
      <c r="S10" s="76">
        <v>3.3899999999999998E-3</v>
      </c>
      <c r="T10" s="76">
        <v>0.53700000000000003</v>
      </c>
      <c r="U10" s="76">
        <v>0.65700000000000003</v>
      </c>
      <c r="W10" s="1">
        <v>240</v>
      </c>
    </row>
    <row r="11" spans="1:32">
      <c r="A11" s="1">
        <v>7</v>
      </c>
      <c r="B11" s="1" t="s">
        <v>92</v>
      </c>
      <c r="C11" s="1" t="s">
        <v>103</v>
      </c>
      <c r="D11" s="1">
        <v>290</v>
      </c>
      <c r="E11" s="1">
        <v>7</v>
      </c>
      <c r="F11" s="1">
        <v>3.5030000000000001</v>
      </c>
      <c r="G11" s="1"/>
      <c r="H11" s="1"/>
      <c r="I11" s="1"/>
      <c r="J11" s="1"/>
      <c r="K11" s="1">
        <v>67.459999999999994</v>
      </c>
      <c r="L11" s="1">
        <v>10.5</v>
      </c>
      <c r="M11" s="1"/>
      <c r="N11" s="1">
        <v>186</v>
      </c>
      <c r="O11" s="1"/>
      <c r="P11" s="1">
        <v>186</v>
      </c>
      <c r="Q11" s="1">
        <v>1139</v>
      </c>
      <c r="R11" s="1"/>
      <c r="S11" s="76">
        <v>3.81E-3</v>
      </c>
      <c r="T11" s="76">
        <v>0.42599999999999999</v>
      </c>
      <c r="U11" s="76">
        <v>0.52100000000000002</v>
      </c>
      <c r="W11" s="1">
        <v>280</v>
      </c>
    </row>
    <row r="12" spans="1:32">
      <c r="A12" s="1">
        <v>8</v>
      </c>
      <c r="B12" s="1" t="s">
        <v>94</v>
      </c>
      <c r="C12" s="1" t="s">
        <v>104</v>
      </c>
      <c r="D12" s="1">
        <v>330</v>
      </c>
      <c r="E12" s="1">
        <v>7</v>
      </c>
      <c r="F12" s="1">
        <v>3.9319999999999999</v>
      </c>
      <c r="G12" s="1"/>
      <c r="H12" s="1"/>
      <c r="I12" s="1"/>
      <c r="J12" s="1"/>
      <c r="K12" s="1">
        <v>85</v>
      </c>
      <c r="L12" s="1">
        <v>11.8</v>
      </c>
      <c r="M12" s="1"/>
      <c r="N12" s="1">
        <v>234.3</v>
      </c>
      <c r="O12" s="1"/>
      <c r="P12" s="1">
        <v>234.3</v>
      </c>
      <c r="Q12" s="1">
        <v>1377</v>
      </c>
      <c r="R12" s="1"/>
      <c r="S12" s="76">
        <v>4.28E-3</v>
      </c>
      <c r="T12" s="76">
        <v>0.33800000000000002</v>
      </c>
      <c r="U12" s="76">
        <v>0.41299999999999998</v>
      </c>
      <c r="W12" s="1">
        <v>320</v>
      </c>
    </row>
    <row r="13" spans="1:32">
      <c r="A13" s="1">
        <v>9</v>
      </c>
      <c r="B13" s="1" t="s">
        <v>82</v>
      </c>
      <c r="C13" s="1" t="s">
        <v>105</v>
      </c>
      <c r="D13" s="1">
        <v>380</v>
      </c>
      <c r="E13" s="1">
        <v>7</v>
      </c>
      <c r="F13" s="1">
        <v>4.4169999999999998</v>
      </c>
      <c r="G13" s="1"/>
      <c r="H13" s="1"/>
      <c r="I13" s="1"/>
      <c r="J13" s="1"/>
      <c r="K13" s="1">
        <v>107.26</v>
      </c>
      <c r="L13" s="1">
        <v>13.3</v>
      </c>
      <c r="M13" s="1"/>
      <c r="N13" s="1">
        <v>295.7</v>
      </c>
      <c r="O13" s="1"/>
      <c r="P13" s="1">
        <v>295.7</v>
      </c>
      <c r="Q13" s="1">
        <v>1738</v>
      </c>
      <c r="R13" s="1"/>
      <c r="S13" s="76">
        <v>4.81E-3</v>
      </c>
      <c r="T13" s="76">
        <v>0.26800000000000002</v>
      </c>
      <c r="U13" s="76">
        <v>0.32800000000000001</v>
      </c>
      <c r="W13" s="1">
        <v>370</v>
      </c>
    </row>
    <row r="14" spans="1:32">
      <c r="A14" s="1">
        <v>10</v>
      </c>
      <c r="B14" s="1">
        <v>250</v>
      </c>
      <c r="C14" s="1" t="s">
        <v>107</v>
      </c>
      <c r="D14" s="1">
        <v>430</v>
      </c>
      <c r="E14" s="1">
        <v>7</v>
      </c>
      <c r="F14" s="1">
        <v>4.8010000000000002</v>
      </c>
      <c r="K14" s="1">
        <v>126.72</v>
      </c>
      <c r="L14" s="1">
        <v>14.4</v>
      </c>
      <c r="N14" s="1">
        <v>349.4</v>
      </c>
      <c r="P14" s="1">
        <v>349.4</v>
      </c>
      <c r="Q14" s="1">
        <v>2053</v>
      </c>
      <c r="S14" s="76">
        <v>5.2300000000000003E-3</v>
      </c>
      <c r="T14" s="76">
        <v>0.22700000000000001</v>
      </c>
      <c r="U14" s="76">
        <v>0.27800000000000002</v>
      </c>
      <c r="W14" s="1">
        <v>460</v>
      </c>
      <c r="AF14" s="1"/>
    </row>
    <row r="15" spans="1:32">
      <c r="A15" s="1">
        <v>11</v>
      </c>
      <c r="B15" s="1">
        <v>250</v>
      </c>
      <c r="C15" s="1" t="s">
        <v>108</v>
      </c>
      <c r="D15" s="1">
        <v>430</v>
      </c>
      <c r="E15" s="1">
        <v>19</v>
      </c>
      <c r="F15" s="1">
        <v>2.9129999999999998</v>
      </c>
      <c r="K15" s="1">
        <v>126.63</v>
      </c>
      <c r="L15" s="1">
        <v>14.6</v>
      </c>
      <c r="N15" s="1">
        <v>349.1</v>
      </c>
      <c r="P15" s="1">
        <v>349.1</v>
      </c>
      <c r="Q15" s="1">
        <v>2111</v>
      </c>
      <c r="S15" s="76">
        <v>5.5199999999999997E-3</v>
      </c>
      <c r="T15" s="76">
        <v>0.22700000000000001</v>
      </c>
      <c r="U15" s="76">
        <v>0.27800000000000002</v>
      </c>
      <c r="W15" s="1">
        <v>530</v>
      </c>
      <c r="AB15" s="1"/>
      <c r="AC15" s="1"/>
      <c r="AF15" s="1"/>
    </row>
    <row r="16" spans="1:32">
      <c r="A16" s="1">
        <v>12</v>
      </c>
      <c r="B16" s="1">
        <v>266.8</v>
      </c>
      <c r="C16" s="1" t="s">
        <v>109</v>
      </c>
      <c r="D16" s="1">
        <v>440</v>
      </c>
      <c r="E16" s="1">
        <v>7</v>
      </c>
      <c r="F16" s="1">
        <v>4.9610000000000003</v>
      </c>
      <c r="H16" t="s">
        <v>157</v>
      </c>
      <c r="K16" s="1">
        <v>135.31</v>
      </c>
      <c r="L16" s="1">
        <v>14.9</v>
      </c>
      <c r="N16" s="1">
        <v>373.1</v>
      </c>
      <c r="P16" s="1">
        <v>373.1</v>
      </c>
      <c r="Q16" s="1">
        <v>2192</v>
      </c>
      <c r="S16" s="76">
        <v>5.4000000000000003E-3</v>
      </c>
      <c r="T16" s="76">
        <v>0.21199999999999999</v>
      </c>
      <c r="U16" s="76">
        <v>0.26</v>
      </c>
      <c r="W16" s="1">
        <v>590</v>
      </c>
      <c r="AB16" s="1"/>
      <c r="AC16" s="1"/>
      <c r="AF16" s="1"/>
    </row>
    <row r="17" spans="1:32">
      <c r="A17" s="1">
        <v>13</v>
      </c>
      <c r="B17" s="1">
        <v>266.8</v>
      </c>
      <c r="C17" s="1" t="s">
        <v>110</v>
      </c>
      <c r="D17" s="1">
        <v>450</v>
      </c>
      <c r="E17" s="1">
        <v>19</v>
      </c>
      <c r="F17" s="3">
        <v>3010</v>
      </c>
      <c r="K17" s="1">
        <v>135.19999999999999</v>
      </c>
      <c r="L17" s="1">
        <v>15.1</v>
      </c>
      <c r="N17" s="1">
        <v>372.8</v>
      </c>
      <c r="P17" s="1">
        <v>372.8</v>
      </c>
      <c r="Q17" s="1">
        <v>2254</v>
      </c>
      <c r="S17" s="76">
        <v>5.7000000000000002E-3</v>
      </c>
      <c r="T17" s="76">
        <v>0.21199999999999999</v>
      </c>
      <c r="U17" s="76">
        <v>0.26</v>
      </c>
      <c r="W17" s="1">
        <v>660</v>
      </c>
      <c r="AB17" s="1"/>
      <c r="AC17" s="1"/>
      <c r="AF17" s="1"/>
    </row>
    <row r="18" spans="1:32">
      <c r="A18" s="1">
        <v>14</v>
      </c>
      <c r="B18" s="1">
        <v>300</v>
      </c>
      <c r="C18" s="1" t="s">
        <v>111</v>
      </c>
      <c r="D18" s="1">
        <v>480</v>
      </c>
      <c r="E18" s="1">
        <v>19</v>
      </c>
      <c r="F18" s="1">
        <v>3.1930000000000001</v>
      </c>
      <c r="K18" s="1">
        <v>152.13999999999999</v>
      </c>
      <c r="L18" s="1">
        <v>16</v>
      </c>
      <c r="N18" s="1">
        <v>419.5</v>
      </c>
      <c r="P18" s="1">
        <v>419.5</v>
      </c>
      <c r="Q18" s="1">
        <v>2487</v>
      </c>
      <c r="S18" s="76">
        <v>6.0499999999999998E-3</v>
      </c>
      <c r="T18" s="76">
        <v>0.189</v>
      </c>
      <c r="U18" s="76">
        <v>0.23100000000000001</v>
      </c>
      <c r="W18" s="1">
        <v>720</v>
      </c>
      <c r="AB18" s="1"/>
      <c r="AC18" s="1"/>
      <c r="AF18" s="1"/>
    </row>
    <row r="19" spans="1:32">
      <c r="A19" s="1">
        <v>15</v>
      </c>
      <c r="B19" s="1">
        <v>336</v>
      </c>
      <c r="C19" s="1" t="s">
        <v>112</v>
      </c>
      <c r="D19" s="1">
        <v>510</v>
      </c>
      <c r="E19" s="1">
        <v>19</v>
      </c>
      <c r="F19" s="1">
        <v>3.3809999999999998</v>
      </c>
      <c r="K19" s="1">
        <v>170.58</v>
      </c>
      <c r="L19" s="1">
        <v>16.899999999999999</v>
      </c>
      <c r="N19" s="1">
        <v>470.3</v>
      </c>
      <c r="P19" s="1">
        <v>470.3</v>
      </c>
      <c r="Q19" s="1">
        <v>2789</v>
      </c>
      <c r="S19" s="76">
        <v>6.4000000000000003E-3</v>
      </c>
      <c r="T19" s="76">
        <v>0.16800000000000001</v>
      </c>
      <c r="U19" s="76">
        <v>0.20599999999999999</v>
      </c>
      <c r="W19" s="1">
        <v>790</v>
      </c>
      <c r="AB19" s="1"/>
      <c r="AC19" s="1"/>
      <c r="AF19" s="1"/>
    </row>
    <row r="20" spans="1:32">
      <c r="A20" s="1">
        <v>16</v>
      </c>
      <c r="B20" s="1">
        <v>350</v>
      </c>
      <c r="C20" s="1" t="s">
        <v>113</v>
      </c>
      <c r="D20" s="1">
        <v>530</v>
      </c>
      <c r="E20" s="1">
        <v>19</v>
      </c>
      <c r="F20" s="1">
        <v>3.4470000000000001</v>
      </c>
      <c r="K20" s="1">
        <v>177.31</v>
      </c>
      <c r="L20" s="1">
        <v>17.2</v>
      </c>
      <c r="N20" s="1">
        <v>488.8</v>
      </c>
      <c r="P20" s="1">
        <v>488.8</v>
      </c>
      <c r="Q20" s="1">
        <v>2899</v>
      </c>
      <c r="S20" s="76">
        <v>6.5300000000000002E-3</v>
      </c>
      <c r="T20" s="76">
        <v>0.16200000000000001</v>
      </c>
      <c r="U20" s="76">
        <v>0.19800000000000001</v>
      </c>
      <c r="W20" s="1">
        <v>910</v>
      </c>
      <c r="AB20" s="1"/>
      <c r="AC20" s="1"/>
      <c r="AF20" s="1"/>
    </row>
    <row r="21" spans="1:32">
      <c r="A21" s="1">
        <v>17</v>
      </c>
      <c r="B21" s="1">
        <v>397.5</v>
      </c>
      <c r="C21" s="1" t="s">
        <v>114</v>
      </c>
      <c r="D21" s="1">
        <v>570</v>
      </c>
      <c r="E21" s="1">
        <v>19</v>
      </c>
      <c r="F21" s="1">
        <v>3.6749999999999998</v>
      </c>
      <c r="K21" s="1">
        <v>201.54</v>
      </c>
      <c r="L21" s="1">
        <v>18.399999999999999</v>
      </c>
      <c r="N21" s="1">
        <v>555.70000000000005</v>
      </c>
      <c r="P21" s="1">
        <v>555.70000000000005</v>
      </c>
      <c r="Q21" s="1">
        <v>3228</v>
      </c>
      <c r="S21" s="76">
        <v>6.96E-3</v>
      </c>
      <c r="T21" s="76">
        <v>0.14299999999999999</v>
      </c>
      <c r="U21" s="76">
        <v>0.17499999999999999</v>
      </c>
      <c r="AB21" s="1"/>
      <c r="AC21" s="1"/>
      <c r="AF21" s="1"/>
    </row>
    <row r="22" spans="1:32">
      <c r="A22" s="1">
        <v>18</v>
      </c>
      <c r="B22" s="1">
        <v>450</v>
      </c>
      <c r="C22" s="1" t="s">
        <v>115</v>
      </c>
      <c r="D22" s="1">
        <v>620</v>
      </c>
      <c r="E22" s="1">
        <v>19</v>
      </c>
      <c r="F22" s="1">
        <v>3.9089999999999998</v>
      </c>
      <c r="K22" s="1">
        <v>228.02</v>
      </c>
      <c r="L22" s="1">
        <v>19.600000000000001</v>
      </c>
      <c r="N22" s="1">
        <v>628.70000000000005</v>
      </c>
      <c r="P22" s="1">
        <v>628.70000000000005</v>
      </c>
      <c r="Q22" s="1">
        <v>3579</v>
      </c>
      <c r="S22" s="76">
        <v>7.4000000000000003E-3</v>
      </c>
      <c r="T22" s="76">
        <v>0.126</v>
      </c>
      <c r="U22" s="76">
        <v>0.155</v>
      </c>
      <c r="AB22" s="1"/>
      <c r="AC22" s="1"/>
      <c r="AF22" s="1"/>
    </row>
    <row r="23" spans="1:32">
      <c r="A23" s="1">
        <v>19</v>
      </c>
      <c r="B23" s="1">
        <v>477</v>
      </c>
      <c r="C23" s="1" t="s">
        <v>116</v>
      </c>
      <c r="D23" s="1">
        <v>640</v>
      </c>
      <c r="E23" s="1">
        <v>19</v>
      </c>
      <c r="F23" s="1">
        <v>4.0229999999999997</v>
      </c>
      <c r="K23" s="1">
        <v>241.51</v>
      </c>
      <c r="L23" s="1">
        <v>20.100000000000001</v>
      </c>
      <c r="N23" s="1">
        <v>665.9</v>
      </c>
      <c r="P23" s="1">
        <v>665.9</v>
      </c>
      <c r="Q23" s="1">
        <v>3791</v>
      </c>
      <c r="S23" s="76">
        <v>7.62E-3</v>
      </c>
      <c r="T23" s="76">
        <v>0.11899999999999999</v>
      </c>
      <c r="U23" s="76">
        <v>0.14599999999999999</v>
      </c>
      <c r="AB23" s="1"/>
      <c r="AC23" s="1"/>
      <c r="AF23" s="1"/>
    </row>
    <row r="24" spans="1:32">
      <c r="A24" s="1">
        <v>20</v>
      </c>
      <c r="B24" s="1">
        <v>477</v>
      </c>
      <c r="C24" s="1" t="s">
        <v>117</v>
      </c>
      <c r="D24" s="1">
        <v>640</v>
      </c>
      <c r="E24" s="1">
        <v>37</v>
      </c>
      <c r="F24" s="1">
        <v>2.883</v>
      </c>
      <c r="K24" s="1">
        <v>241.54</v>
      </c>
      <c r="L24" s="1">
        <v>20.2</v>
      </c>
      <c r="N24" s="1">
        <v>665.9</v>
      </c>
      <c r="P24" s="1">
        <v>665.9</v>
      </c>
      <c r="Q24" s="1">
        <v>3940</v>
      </c>
      <c r="S24" s="76">
        <v>7.7499999999999999E-3</v>
      </c>
      <c r="T24" s="76">
        <v>0.11899999999999999</v>
      </c>
      <c r="U24" s="76">
        <v>0.14599999999999999</v>
      </c>
      <c r="AB24" s="1"/>
      <c r="AC24" s="1"/>
      <c r="AF24" s="1"/>
    </row>
    <row r="25" spans="1:32">
      <c r="A25" s="1">
        <v>21</v>
      </c>
      <c r="B25" s="1">
        <v>500</v>
      </c>
      <c r="C25" s="1" t="s">
        <v>119</v>
      </c>
      <c r="D25" s="1">
        <v>660</v>
      </c>
      <c r="E25" s="1">
        <v>37</v>
      </c>
      <c r="F25" s="1">
        <v>2.9510000000000001</v>
      </c>
      <c r="K25" s="1">
        <v>253.06</v>
      </c>
      <c r="L25" s="1">
        <v>20.7</v>
      </c>
      <c r="N25" s="1">
        <v>697.7</v>
      </c>
      <c r="P25" s="1">
        <v>697.7</v>
      </c>
      <c r="Q25" s="1">
        <v>4128</v>
      </c>
      <c r="S25" s="76">
        <v>7.9299999999999995E-3</v>
      </c>
      <c r="T25" s="76">
        <v>0.114</v>
      </c>
      <c r="U25" s="76">
        <v>0.13900000000000001</v>
      </c>
      <c r="AB25" s="1"/>
      <c r="AC25" s="1"/>
      <c r="AF25" s="1"/>
    </row>
    <row r="26" spans="1:32">
      <c r="A26" s="1">
        <v>22</v>
      </c>
      <c r="B26" s="1">
        <v>500</v>
      </c>
      <c r="C26" s="1" t="s">
        <v>118</v>
      </c>
      <c r="D26" s="1">
        <v>660</v>
      </c>
      <c r="E26" s="1">
        <v>19</v>
      </c>
      <c r="F26" s="3">
        <v>4120</v>
      </c>
      <c r="K26" s="1">
        <v>253.3</v>
      </c>
      <c r="L26" s="1">
        <v>20.6</v>
      </c>
      <c r="N26" s="1">
        <v>698.4</v>
      </c>
      <c r="P26" s="1">
        <v>698.4</v>
      </c>
      <c r="Q26" s="1">
        <v>3976</v>
      </c>
      <c r="S26" s="76">
        <v>7.7999999999999996E-3</v>
      </c>
      <c r="T26" s="76">
        <v>0.113</v>
      </c>
      <c r="U26" s="76">
        <v>0.13900000000000001</v>
      </c>
      <c r="AB26" s="1"/>
      <c r="AC26" s="1"/>
      <c r="AF26" s="1"/>
    </row>
    <row r="27" spans="1:32">
      <c r="A27" s="1">
        <v>23</v>
      </c>
      <c r="B27" s="1">
        <v>556.5</v>
      </c>
      <c r="C27" s="1" t="s">
        <v>149</v>
      </c>
      <c r="D27" s="1">
        <v>700</v>
      </c>
      <c r="E27" s="1">
        <v>19</v>
      </c>
      <c r="F27" s="1">
        <v>4.3460000000000001</v>
      </c>
      <c r="K27" s="1">
        <v>281.85000000000002</v>
      </c>
      <c r="L27" s="1">
        <v>21.7</v>
      </c>
      <c r="N27" s="1">
        <v>777.1</v>
      </c>
      <c r="P27" s="1">
        <v>777.1</v>
      </c>
      <c r="Q27" s="1">
        <v>4424</v>
      </c>
      <c r="S27" s="76">
        <v>8.2299999999999995E-3</v>
      </c>
      <c r="T27" s="76">
        <v>0.10199999999999999</v>
      </c>
      <c r="U27" s="76">
        <v>0.126</v>
      </c>
      <c r="AB27" s="1"/>
      <c r="AC27" s="1"/>
      <c r="AF27" s="1"/>
    </row>
    <row r="28" spans="1:32">
      <c r="A28" s="1">
        <v>24</v>
      </c>
      <c r="B28" s="1">
        <v>556.5</v>
      </c>
      <c r="C28" s="1" t="s">
        <v>150</v>
      </c>
      <c r="D28" s="1">
        <v>700</v>
      </c>
      <c r="E28" s="1">
        <v>37</v>
      </c>
      <c r="F28" s="1">
        <v>3.1139999999999999</v>
      </c>
      <c r="K28" s="1">
        <v>281.79000000000002</v>
      </c>
      <c r="L28" s="1">
        <v>21.8</v>
      </c>
      <c r="N28" s="1">
        <v>776.9</v>
      </c>
      <c r="P28" s="1">
        <v>776.9</v>
      </c>
      <c r="Q28" s="1">
        <v>4508</v>
      </c>
      <c r="S28" s="76">
        <v>8.3700000000000007E-3</v>
      </c>
      <c r="T28" s="76">
        <v>0.10199999999999999</v>
      </c>
      <c r="U28" s="76">
        <v>0.126</v>
      </c>
      <c r="AB28" s="1"/>
      <c r="AC28" s="1"/>
      <c r="AF28" s="1"/>
    </row>
    <row r="29" spans="1:32">
      <c r="A29" s="1">
        <v>25</v>
      </c>
      <c r="B29" s="1">
        <v>600</v>
      </c>
      <c r="C29" s="1" t="s">
        <v>120</v>
      </c>
      <c r="D29" s="1">
        <v>740</v>
      </c>
      <c r="E29" s="1">
        <v>37</v>
      </c>
      <c r="F29" s="1">
        <v>3.2330000000000001</v>
      </c>
      <c r="K29" s="1">
        <v>303.74</v>
      </c>
      <c r="L29" s="1">
        <v>22.6</v>
      </c>
      <c r="N29" s="1">
        <v>837.4</v>
      </c>
      <c r="P29" s="1">
        <v>837.4</v>
      </c>
      <c r="Q29" s="1">
        <v>4859</v>
      </c>
      <c r="S29" s="76">
        <v>8.6899999999999998E-3</v>
      </c>
      <c r="T29" s="76">
        <v>9.5000000000000001E-2</v>
      </c>
      <c r="U29" s="76">
        <v>0.11600000000000001</v>
      </c>
      <c r="AB29" s="1"/>
      <c r="AC29" s="1"/>
      <c r="AF29" s="1"/>
    </row>
    <row r="30" spans="1:32">
      <c r="A30" s="1">
        <v>26</v>
      </c>
      <c r="B30" s="1">
        <v>636</v>
      </c>
      <c r="C30" s="1" t="s">
        <v>121</v>
      </c>
      <c r="D30" s="1">
        <v>760</v>
      </c>
      <c r="E30" s="1">
        <v>37</v>
      </c>
      <c r="F30" s="1">
        <v>3.33</v>
      </c>
      <c r="K30" s="1">
        <v>322.24</v>
      </c>
      <c r="L30" s="1">
        <v>23.3</v>
      </c>
      <c r="N30" s="1">
        <v>888.4</v>
      </c>
      <c r="P30" s="1">
        <v>888.4</v>
      </c>
      <c r="Q30" s="1">
        <v>5155</v>
      </c>
      <c r="S30" s="76">
        <v>8.9499999999999996E-3</v>
      </c>
      <c r="T30" s="76">
        <v>8.8999999999999996E-2</v>
      </c>
      <c r="U30" s="76">
        <v>0.11</v>
      </c>
      <c r="AB30" s="1"/>
      <c r="AC30" s="1"/>
      <c r="AF30" s="1"/>
    </row>
    <row r="31" spans="1:32">
      <c r="A31" s="1">
        <v>27</v>
      </c>
      <c r="B31" s="1">
        <v>650</v>
      </c>
      <c r="C31" s="1" t="s">
        <v>122</v>
      </c>
      <c r="D31" s="1">
        <v>770</v>
      </c>
      <c r="E31" s="1">
        <v>37</v>
      </c>
      <c r="F31" s="1">
        <v>3.3679999999999999</v>
      </c>
      <c r="K31" s="1">
        <v>329.64</v>
      </c>
      <c r="L31" s="1">
        <v>23.6</v>
      </c>
      <c r="N31" s="1">
        <v>908.8</v>
      </c>
      <c r="P31" s="1">
        <v>908.8</v>
      </c>
      <c r="Q31" s="1">
        <v>5273</v>
      </c>
      <c r="S31" s="76">
        <v>9.0500000000000008E-3</v>
      </c>
      <c r="T31" s="76">
        <v>8.6999999999999994E-2</v>
      </c>
      <c r="U31" s="76">
        <v>0.108</v>
      </c>
      <c r="AB31" s="1"/>
      <c r="AC31" s="1"/>
      <c r="AF31" s="1"/>
    </row>
    <row r="32" spans="1:32">
      <c r="A32" s="1">
        <v>28</v>
      </c>
      <c r="B32" s="1">
        <v>700</v>
      </c>
      <c r="C32" s="1" t="s">
        <v>152</v>
      </c>
      <c r="D32" s="1">
        <v>810</v>
      </c>
      <c r="E32" s="1">
        <v>61</v>
      </c>
      <c r="F32" s="3">
        <v>2720</v>
      </c>
      <c r="K32" s="1">
        <v>354.45</v>
      </c>
      <c r="L32" s="1">
        <v>24.5</v>
      </c>
      <c r="N32" s="1">
        <v>977.2</v>
      </c>
      <c r="P32" s="1">
        <v>977.2</v>
      </c>
      <c r="Q32" s="1">
        <v>5833</v>
      </c>
      <c r="S32" s="76">
        <v>9.4500000000000001E-3</v>
      </c>
      <c r="T32" s="76">
        <v>8.1000000000000003E-2</v>
      </c>
      <c r="U32" s="76">
        <v>0.1</v>
      </c>
      <c r="AB32" s="1"/>
      <c r="AC32" s="1"/>
      <c r="AF32" s="1"/>
    </row>
    <row r="33" spans="1:32">
      <c r="A33" s="1">
        <v>29</v>
      </c>
      <c r="B33" s="1">
        <v>700</v>
      </c>
      <c r="C33" s="1" t="s">
        <v>151</v>
      </c>
      <c r="D33" s="1">
        <v>810</v>
      </c>
      <c r="E33" s="1">
        <v>37</v>
      </c>
      <c r="F33" s="1">
        <v>3.4929999999999999</v>
      </c>
      <c r="K33" s="1">
        <v>354.56</v>
      </c>
      <c r="L33" s="1">
        <v>24.5</v>
      </c>
      <c r="N33" s="1">
        <v>977.5</v>
      </c>
      <c r="P33" s="1">
        <v>977.5</v>
      </c>
      <c r="Q33" s="1">
        <v>5672</v>
      </c>
      <c r="S33" s="76">
        <v>9.3900000000000008E-3</v>
      </c>
      <c r="T33" s="76">
        <v>8.1000000000000003E-2</v>
      </c>
      <c r="U33" s="76">
        <v>0.1</v>
      </c>
      <c r="AB33" s="1"/>
      <c r="AC33" s="1"/>
      <c r="AF33" s="1"/>
    </row>
    <row r="34" spans="1:32">
      <c r="A34" s="1">
        <v>30</v>
      </c>
      <c r="B34" s="1">
        <v>715.5</v>
      </c>
      <c r="C34" s="1" t="s">
        <v>154</v>
      </c>
      <c r="D34" s="1">
        <v>820</v>
      </c>
      <c r="E34" s="1">
        <v>61</v>
      </c>
      <c r="F34" s="1">
        <v>2.7509999999999999</v>
      </c>
      <c r="K34" s="1">
        <v>362.58</v>
      </c>
      <c r="L34" s="1">
        <v>24.8</v>
      </c>
      <c r="N34" s="1">
        <v>999.6</v>
      </c>
      <c r="P34" s="1">
        <v>999.6</v>
      </c>
      <c r="Q34" s="1">
        <v>5966</v>
      </c>
      <c r="S34" s="76">
        <v>9.5600000000000008E-3</v>
      </c>
      <c r="T34" s="76">
        <v>7.9000000000000001E-2</v>
      </c>
      <c r="U34" s="76">
        <v>9.8000000000000004E-2</v>
      </c>
      <c r="AB34" s="1"/>
      <c r="AC34" s="1"/>
      <c r="AF34" s="1"/>
    </row>
    <row r="35" spans="1:32">
      <c r="A35" s="1">
        <v>31</v>
      </c>
      <c r="B35" s="1">
        <v>715.5</v>
      </c>
      <c r="C35" s="1" t="s">
        <v>153</v>
      </c>
      <c r="D35" s="1">
        <v>820</v>
      </c>
      <c r="E35" s="1">
        <v>37</v>
      </c>
      <c r="F35" s="1">
        <v>3.5329999999999999</v>
      </c>
      <c r="K35" s="1">
        <v>362.73</v>
      </c>
      <c r="L35" s="1">
        <v>24.7</v>
      </c>
      <c r="N35" s="1">
        <v>1000.1</v>
      </c>
      <c r="P35" s="1">
        <v>1000.1</v>
      </c>
      <c r="Q35" s="1">
        <v>5803</v>
      </c>
      <c r="S35" s="76">
        <v>9.4900000000000002E-3</v>
      </c>
      <c r="T35" s="76">
        <v>7.9000000000000001E-2</v>
      </c>
      <c r="U35" s="76">
        <v>9.8000000000000004E-2</v>
      </c>
      <c r="AB35" s="1"/>
      <c r="AC35" s="1"/>
      <c r="AF35" s="1"/>
    </row>
    <row r="36" spans="1:32">
      <c r="A36" s="1">
        <v>32</v>
      </c>
      <c r="B36" s="1">
        <v>750</v>
      </c>
      <c r="C36" s="1" t="s">
        <v>124</v>
      </c>
      <c r="D36" s="1">
        <v>850</v>
      </c>
      <c r="E36" s="1">
        <v>61</v>
      </c>
      <c r="F36" s="1">
        <v>2.8170000000000002</v>
      </c>
      <c r="K36" s="1">
        <v>380.18</v>
      </c>
      <c r="L36" s="1">
        <v>25.4</v>
      </c>
      <c r="N36" s="1">
        <v>1048.2</v>
      </c>
      <c r="P36" s="1">
        <v>1048.2</v>
      </c>
      <c r="Q36" s="1">
        <v>6134</v>
      </c>
      <c r="S36" s="76">
        <v>9.7900000000000001E-3</v>
      </c>
      <c r="T36" s="76">
        <v>7.5999999999999998E-2</v>
      </c>
      <c r="U36" s="76">
        <v>9.4E-2</v>
      </c>
      <c r="AB36" s="1"/>
      <c r="AC36" s="1"/>
      <c r="AF36" s="1"/>
    </row>
    <row r="37" spans="1:32">
      <c r="A37" s="1">
        <v>33</v>
      </c>
      <c r="B37" s="1">
        <v>750</v>
      </c>
      <c r="C37" s="1" t="s">
        <v>123</v>
      </c>
      <c r="D37" s="1">
        <v>850</v>
      </c>
      <c r="E37" s="1">
        <v>37</v>
      </c>
      <c r="F37" s="1">
        <v>3.617</v>
      </c>
      <c r="K37" s="1">
        <v>380.18</v>
      </c>
      <c r="L37" s="1">
        <v>25.3</v>
      </c>
      <c r="N37" s="1">
        <v>1048.2</v>
      </c>
      <c r="P37" s="1">
        <v>1048.2</v>
      </c>
      <c r="Q37" s="1">
        <v>5959</v>
      </c>
      <c r="S37" s="76">
        <v>9.7199999999999995E-3</v>
      </c>
      <c r="T37" s="76">
        <v>7.5999999999999998E-2</v>
      </c>
      <c r="U37" s="76">
        <v>9.4E-2</v>
      </c>
      <c r="AB37" s="1"/>
      <c r="AC37" s="1"/>
      <c r="AF37" s="1"/>
    </row>
    <row r="38" spans="1:32">
      <c r="A38" s="1">
        <v>34</v>
      </c>
      <c r="B38" s="1">
        <v>795</v>
      </c>
      <c r="C38" s="1" t="s">
        <v>125</v>
      </c>
      <c r="D38" s="1">
        <v>880</v>
      </c>
      <c r="E38" s="1">
        <v>37</v>
      </c>
      <c r="F38" s="1">
        <v>3.7240000000000002</v>
      </c>
      <c r="K38" s="1">
        <v>403.01</v>
      </c>
      <c r="L38" s="1">
        <v>26.1</v>
      </c>
      <c r="N38" s="1">
        <v>1111.0999999999999</v>
      </c>
      <c r="P38" s="1">
        <v>1111.0999999999999</v>
      </c>
      <c r="Q38" s="1">
        <v>6316</v>
      </c>
      <c r="S38" s="76">
        <v>1.001E-2</v>
      </c>
      <c r="T38" s="76">
        <v>7.0999999999999994E-2</v>
      </c>
      <c r="U38" s="76">
        <v>8.7999999999999995E-2</v>
      </c>
      <c r="AB38" s="1"/>
      <c r="AC38" s="1"/>
      <c r="AF38" s="1"/>
    </row>
    <row r="39" spans="1:32">
      <c r="A39" s="1">
        <v>35</v>
      </c>
      <c r="B39" s="1">
        <v>795</v>
      </c>
      <c r="C39" s="1" t="s">
        <v>126</v>
      </c>
      <c r="D39" s="1">
        <v>880</v>
      </c>
      <c r="E39" s="1">
        <v>61</v>
      </c>
      <c r="F39" s="1">
        <v>2.9009999999999998</v>
      </c>
      <c r="K39" s="1">
        <v>403.2</v>
      </c>
      <c r="L39" s="1">
        <v>26.1</v>
      </c>
      <c r="N39" s="1">
        <v>1111.5999999999999</v>
      </c>
      <c r="P39" s="1">
        <v>1111.5999999999999</v>
      </c>
      <c r="Q39" s="1">
        <v>6505</v>
      </c>
      <c r="S39" s="76">
        <v>1.008E-2</v>
      </c>
      <c r="T39" s="76">
        <v>7.0999999999999994E-2</v>
      </c>
      <c r="U39" s="76">
        <v>8.7999999999999995E-2</v>
      </c>
      <c r="AB39" s="1"/>
      <c r="AC39" s="1"/>
      <c r="AF39" s="1"/>
    </row>
    <row r="40" spans="1:32">
      <c r="A40" s="1">
        <v>36</v>
      </c>
      <c r="B40" s="1">
        <v>874.5</v>
      </c>
      <c r="C40" s="1" t="s">
        <v>155</v>
      </c>
      <c r="D40" s="1">
        <v>920</v>
      </c>
      <c r="E40" s="1">
        <v>37</v>
      </c>
      <c r="F40" s="1">
        <v>3.9049999999999998</v>
      </c>
      <c r="K40" s="1">
        <v>443.13</v>
      </c>
      <c r="L40" s="1">
        <v>27.3</v>
      </c>
      <c r="N40" s="1">
        <v>1221.7</v>
      </c>
      <c r="P40" s="1">
        <v>1221.7</v>
      </c>
      <c r="Q40" s="1">
        <v>6805</v>
      </c>
      <c r="S40" s="76">
        <v>1.0489999999999999E-2</v>
      </c>
      <c r="T40" s="76">
        <v>6.5000000000000002E-2</v>
      </c>
      <c r="U40" s="76">
        <v>8.1000000000000003E-2</v>
      </c>
      <c r="AB40" s="1"/>
      <c r="AC40" s="1"/>
      <c r="AF40" s="1"/>
    </row>
    <row r="41" spans="1:32">
      <c r="A41" s="1">
        <v>37</v>
      </c>
      <c r="B41" s="1">
        <v>900</v>
      </c>
      <c r="C41" s="1" t="s">
        <v>127</v>
      </c>
      <c r="D41" s="1">
        <v>950</v>
      </c>
      <c r="E41" s="1">
        <v>37</v>
      </c>
      <c r="F41" s="1">
        <v>3.9620000000000002</v>
      </c>
      <c r="K41" s="1">
        <v>456.16</v>
      </c>
      <c r="L41" s="1">
        <v>27.7</v>
      </c>
      <c r="N41" s="1">
        <v>1257.7</v>
      </c>
      <c r="P41" s="1">
        <v>1257.7</v>
      </c>
      <c r="Q41" s="1">
        <v>7006</v>
      </c>
      <c r="S41" s="76">
        <v>1.065E-2</v>
      </c>
      <c r="T41" s="76">
        <v>6.3E-2</v>
      </c>
      <c r="U41" s="76">
        <v>7.9000000000000001E-2</v>
      </c>
      <c r="AB41" s="1"/>
      <c r="AC41" s="1"/>
      <c r="AF41" s="1"/>
    </row>
    <row r="42" spans="1:32">
      <c r="A42" s="1">
        <v>38</v>
      </c>
      <c r="B42" s="1">
        <v>900</v>
      </c>
      <c r="C42" s="1" t="s">
        <v>128</v>
      </c>
      <c r="D42" s="1">
        <v>950</v>
      </c>
      <c r="E42" s="1">
        <v>61</v>
      </c>
      <c r="F42" s="1">
        <v>3.0859999999999999</v>
      </c>
      <c r="K42" s="1">
        <v>456.26</v>
      </c>
      <c r="L42" s="1">
        <v>27.8</v>
      </c>
      <c r="N42" s="1">
        <v>1257.9000000000001</v>
      </c>
      <c r="P42" s="1">
        <v>1257.9000000000001</v>
      </c>
      <c r="Q42" s="1">
        <v>7219</v>
      </c>
      <c r="S42" s="76">
        <v>1.072E-2</v>
      </c>
      <c r="T42" s="76">
        <v>6.3E-2</v>
      </c>
      <c r="U42" s="76">
        <v>7.9000000000000001E-2</v>
      </c>
      <c r="AB42" s="1"/>
      <c r="AC42" s="1"/>
      <c r="AF42" s="1"/>
    </row>
    <row r="43" spans="1:32">
      <c r="A43" s="1">
        <v>39</v>
      </c>
      <c r="B43" s="1">
        <v>954</v>
      </c>
      <c r="C43" s="1" t="s">
        <v>130</v>
      </c>
      <c r="D43" s="1">
        <v>980</v>
      </c>
      <c r="E43" s="1">
        <v>61</v>
      </c>
      <c r="F43" s="1">
        <v>3.1779999999999999</v>
      </c>
      <c r="K43" s="1">
        <v>483.87</v>
      </c>
      <c r="L43" s="1">
        <v>28.6</v>
      </c>
      <c r="N43" s="1">
        <v>1334.1</v>
      </c>
      <c r="P43" s="1">
        <v>1334.1</v>
      </c>
      <c r="Q43" s="1">
        <v>7656</v>
      </c>
      <c r="S43" s="76">
        <v>1.1039999999999999E-2</v>
      </c>
      <c r="T43" s="76">
        <v>5.8999999999999997E-2</v>
      </c>
      <c r="U43" s="76">
        <v>7.3999999999999996E-2</v>
      </c>
      <c r="AB43" s="1"/>
      <c r="AC43" s="1"/>
      <c r="AF43" s="1"/>
    </row>
    <row r="44" spans="1:32">
      <c r="A44" s="1">
        <v>40</v>
      </c>
      <c r="B44" s="1">
        <v>954</v>
      </c>
      <c r="C44" s="1" t="s">
        <v>129</v>
      </c>
      <c r="D44" s="1">
        <v>980</v>
      </c>
      <c r="E44" s="1">
        <v>37</v>
      </c>
      <c r="F44" s="1">
        <v>4.0789999999999997</v>
      </c>
      <c r="K44" s="1">
        <v>483.5</v>
      </c>
      <c r="L44" s="1">
        <v>28.6</v>
      </c>
      <c r="N44" s="1">
        <v>1333</v>
      </c>
      <c r="P44" s="1">
        <v>1333</v>
      </c>
      <c r="Q44" s="1">
        <v>7425</v>
      </c>
      <c r="S44" s="76">
        <v>1.0959999999999999E-2</v>
      </c>
      <c r="T44" s="76">
        <v>5.8999999999999997E-2</v>
      </c>
      <c r="U44" s="76">
        <v>7.4999999999999997E-2</v>
      </c>
      <c r="AB44" s="1"/>
      <c r="AC44" s="1"/>
      <c r="AF44" s="1"/>
    </row>
    <row r="45" spans="1:32">
      <c r="A45" s="1">
        <v>41</v>
      </c>
      <c r="B45" s="1">
        <v>1000</v>
      </c>
      <c r="C45" s="1" t="s">
        <v>132</v>
      </c>
      <c r="D45" s="1">
        <v>1010</v>
      </c>
      <c r="E45" s="1">
        <v>61</v>
      </c>
      <c r="F45" s="1">
        <v>3.2509999999999999</v>
      </c>
      <c r="K45" s="1">
        <v>506.35</v>
      </c>
      <c r="L45" s="1">
        <v>29.3</v>
      </c>
      <c r="N45" s="1">
        <v>1396</v>
      </c>
      <c r="P45" s="1">
        <v>1396</v>
      </c>
      <c r="Q45" s="1">
        <v>8011</v>
      </c>
      <c r="S45" s="76">
        <v>1.1299999999999999E-2</v>
      </c>
      <c r="T45" s="76">
        <v>5.7000000000000002E-2</v>
      </c>
      <c r="U45" s="76">
        <v>7.0999999999999994E-2</v>
      </c>
      <c r="AB45" s="1"/>
      <c r="AC45" s="1"/>
      <c r="AF45" s="1"/>
    </row>
    <row r="46" spans="1:32">
      <c r="A46" s="1">
        <v>42</v>
      </c>
      <c r="B46" s="1">
        <v>1000</v>
      </c>
      <c r="C46" s="1" t="s">
        <v>131</v>
      </c>
      <c r="D46" s="1">
        <v>1010</v>
      </c>
      <c r="E46" s="1">
        <v>37</v>
      </c>
      <c r="F46" s="1">
        <v>4.1760000000000002</v>
      </c>
      <c r="K46" s="1">
        <v>506.77</v>
      </c>
      <c r="L46" s="1">
        <v>29.2</v>
      </c>
      <c r="N46" s="1">
        <v>1397.2</v>
      </c>
      <c r="P46" s="1">
        <v>1397.2</v>
      </c>
      <c r="Q46" s="1">
        <v>7783</v>
      </c>
      <c r="S46" s="76">
        <v>1.1220000000000001E-2</v>
      </c>
      <c r="T46" s="76">
        <v>5.7000000000000002E-2</v>
      </c>
      <c r="U46" s="76">
        <v>7.0999999999999994E-2</v>
      </c>
      <c r="AB46" s="1"/>
      <c r="AC46" s="1"/>
      <c r="AF46" s="1"/>
    </row>
    <row r="47" spans="1:32">
      <c r="A47" s="1">
        <v>43</v>
      </c>
      <c r="B47" s="1">
        <v>1033.5</v>
      </c>
      <c r="C47" s="1" t="s">
        <v>133</v>
      </c>
      <c r="D47" s="1">
        <v>1030</v>
      </c>
      <c r="E47" s="1">
        <v>37</v>
      </c>
      <c r="F47" s="1">
        <v>4.2439999999999998</v>
      </c>
      <c r="K47" s="1">
        <v>523.41</v>
      </c>
      <c r="L47" s="1">
        <v>29.7</v>
      </c>
      <c r="N47" s="1">
        <v>1443.1</v>
      </c>
      <c r="P47" s="1">
        <v>1443.1</v>
      </c>
      <c r="Q47" s="1">
        <v>8038</v>
      </c>
      <c r="S47" s="76">
        <v>1.14E-2</v>
      </c>
      <c r="T47" s="76">
        <v>5.5E-2</v>
      </c>
      <c r="U47" s="76">
        <v>6.9000000000000006E-2</v>
      </c>
      <c r="AB47" s="1"/>
      <c r="AC47" s="1"/>
      <c r="AF47" s="1"/>
    </row>
    <row r="48" spans="1:32">
      <c r="A48" s="1">
        <v>44</v>
      </c>
      <c r="B48" s="1">
        <v>1035</v>
      </c>
      <c r="C48" s="1" t="s">
        <v>134</v>
      </c>
      <c r="D48" s="1">
        <v>1030</v>
      </c>
      <c r="E48" s="1">
        <v>61</v>
      </c>
      <c r="F48" s="1">
        <v>3.3069999999999999</v>
      </c>
      <c r="K48" s="1">
        <v>523.95000000000005</v>
      </c>
      <c r="L48" s="1">
        <v>29.8</v>
      </c>
      <c r="N48" s="1">
        <v>1444.6</v>
      </c>
      <c r="P48" s="1">
        <v>1444.6</v>
      </c>
      <c r="Q48" s="1">
        <v>8299</v>
      </c>
      <c r="S48" s="76">
        <v>1.149E-2</v>
      </c>
      <c r="T48" s="76">
        <v>5.5E-2</v>
      </c>
      <c r="U48" s="76">
        <v>6.9000000000000006E-2</v>
      </c>
      <c r="AB48" s="1"/>
      <c r="AC48" s="1"/>
      <c r="AF48" s="1"/>
    </row>
    <row r="49" spans="1:32">
      <c r="A49" s="1">
        <v>45</v>
      </c>
      <c r="B49" s="1">
        <v>1113</v>
      </c>
      <c r="C49" s="1" t="s">
        <v>135</v>
      </c>
      <c r="D49" s="1">
        <v>1080</v>
      </c>
      <c r="E49" s="1">
        <v>61</v>
      </c>
      <c r="F49" s="1">
        <v>3.4319999999999999</v>
      </c>
      <c r="K49" s="1">
        <v>564.30999999999995</v>
      </c>
      <c r="L49" s="1">
        <v>30.9</v>
      </c>
      <c r="N49" s="1">
        <v>1555.8</v>
      </c>
      <c r="P49" s="1">
        <v>1555.8</v>
      </c>
      <c r="Q49" s="1">
        <v>8928</v>
      </c>
      <c r="S49" s="76">
        <v>1.193E-2</v>
      </c>
      <c r="T49" s="76">
        <v>5.0999999999999997E-2</v>
      </c>
      <c r="U49" s="76">
        <v>6.4000000000000001E-2</v>
      </c>
      <c r="AB49" s="1"/>
      <c r="AC49" s="1"/>
      <c r="AF49" s="1"/>
    </row>
    <row r="50" spans="1:32">
      <c r="A50" s="1">
        <v>46</v>
      </c>
      <c r="B50" s="1">
        <v>1192</v>
      </c>
      <c r="C50" s="1" t="s">
        <v>136</v>
      </c>
      <c r="D50" s="1">
        <v>1120</v>
      </c>
      <c r="E50" s="1">
        <v>61</v>
      </c>
      <c r="F50" s="1">
        <v>3.5510000000000002</v>
      </c>
      <c r="K50" s="1">
        <v>604.12</v>
      </c>
      <c r="L50" s="1">
        <v>32</v>
      </c>
      <c r="N50" s="1">
        <v>1665.6</v>
      </c>
      <c r="P50" s="1">
        <v>1665.6</v>
      </c>
      <c r="Q50" s="1">
        <v>9558</v>
      </c>
      <c r="S50" s="76">
        <v>1.234E-2</v>
      </c>
      <c r="T50" s="76">
        <v>4.8000000000000001E-2</v>
      </c>
      <c r="U50" s="76">
        <v>0.06</v>
      </c>
      <c r="AB50" s="1"/>
      <c r="AC50" s="1"/>
      <c r="AF50" s="1"/>
    </row>
    <row r="51" spans="1:32">
      <c r="A51" s="1">
        <v>47</v>
      </c>
      <c r="B51" s="1">
        <v>1272</v>
      </c>
      <c r="C51" s="1" t="s">
        <v>137</v>
      </c>
      <c r="D51" s="1">
        <v>1170</v>
      </c>
      <c r="E51" s="1">
        <v>61</v>
      </c>
      <c r="F51" s="1">
        <v>3.6680000000000001</v>
      </c>
      <c r="K51" s="1">
        <v>644.58000000000004</v>
      </c>
      <c r="L51" s="1">
        <v>33</v>
      </c>
      <c r="N51" s="1">
        <v>1777.2</v>
      </c>
      <c r="P51" s="1">
        <v>1777.2</v>
      </c>
      <c r="Q51" s="1">
        <v>9991</v>
      </c>
      <c r="S51" s="76">
        <v>1.2749999999999999E-2</v>
      </c>
      <c r="T51" s="76">
        <v>4.4999999999999998E-2</v>
      </c>
      <c r="U51" s="76">
        <v>5.7000000000000002E-2</v>
      </c>
      <c r="AB51" s="1"/>
      <c r="AC51" s="1"/>
      <c r="AF51" s="1"/>
    </row>
    <row r="52" spans="1:32">
      <c r="A52" s="1">
        <v>48</v>
      </c>
      <c r="B52" s="1">
        <v>1351</v>
      </c>
      <c r="C52" s="1" t="s">
        <v>138</v>
      </c>
      <c r="D52" s="1">
        <v>1210</v>
      </c>
      <c r="E52" s="1">
        <v>61</v>
      </c>
      <c r="F52" s="1">
        <v>3.78</v>
      </c>
      <c r="K52" s="1">
        <v>684.55</v>
      </c>
      <c r="L52" s="1">
        <v>34</v>
      </c>
      <c r="N52" s="1">
        <v>1887.3</v>
      </c>
      <c r="P52" s="1">
        <v>1887.3</v>
      </c>
      <c r="Q52" s="1">
        <v>10611</v>
      </c>
      <c r="S52" s="76">
        <v>1.3140000000000001E-2</v>
      </c>
      <c r="T52" s="76">
        <v>4.2000000000000003E-2</v>
      </c>
      <c r="U52" s="76">
        <v>5.3999999999999999E-2</v>
      </c>
      <c r="AB52" s="1"/>
      <c r="AC52" s="1"/>
      <c r="AF52" s="1"/>
    </row>
    <row r="53" spans="1:32">
      <c r="A53" s="1">
        <v>49</v>
      </c>
      <c r="B53" s="1">
        <v>1431</v>
      </c>
      <c r="C53" s="1" t="s">
        <v>139</v>
      </c>
      <c r="D53" s="1">
        <v>1260</v>
      </c>
      <c r="E53" s="1">
        <v>61</v>
      </c>
      <c r="F53" s="1">
        <v>3.891</v>
      </c>
      <c r="K53" s="1">
        <v>725.34</v>
      </c>
      <c r="L53" s="1">
        <v>35</v>
      </c>
      <c r="N53" s="1">
        <v>1999.8</v>
      </c>
      <c r="P53" s="1">
        <v>1999.8</v>
      </c>
      <c r="Q53" s="1">
        <v>11017</v>
      </c>
      <c r="S53" s="76">
        <v>1.3520000000000001E-2</v>
      </c>
      <c r="T53" s="76">
        <v>0.04</v>
      </c>
      <c r="U53" s="76">
        <v>5.0999999999999997E-2</v>
      </c>
      <c r="AB53" s="1"/>
      <c r="AC53" s="1"/>
      <c r="AF53" s="1"/>
    </row>
    <row r="54" spans="1:32">
      <c r="A54" s="1">
        <v>50</v>
      </c>
      <c r="B54" s="1">
        <v>1510.5</v>
      </c>
      <c r="C54" s="1" t="s">
        <v>140</v>
      </c>
      <c r="D54" s="1">
        <v>1290</v>
      </c>
      <c r="E54" s="1">
        <v>61</v>
      </c>
      <c r="F54" s="1">
        <v>3.9980000000000002</v>
      </c>
      <c r="K54" s="1">
        <v>765.78</v>
      </c>
      <c r="L54" s="1">
        <v>36</v>
      </c>
      <c r="N54" s="1">
        <v>2111.3000000000002</v>
      </c>
      <c r="P54" s="1">
        <v>2111.3000000000002</v>
      </c>
      <c r="Q54" s="1">
        <v>11631</v>
      </c>
      <c r="S54" s="76">
        <v>1.389E-2</v>
      </c>
      <c r="T54" s="76">
        <v>3.7999999999999999E-2</v>
      </c>
      <c r="U54" s="76">
        <v>4.8000000000000001E-2</v>
      </c>
      <c r="AB54" s="1"/>
      <c r="AC54" s="1"/>
      <c r="AF54" s="1"/>
    </row>
    <row r="55" spans="1:32">
      <c r="A55" s="1">
        <v>51</v>
      </c>
      <c r="B55" s="1">
        <v>1590</v>
      </c>
      <c r="C55" s="1" t="s">
        <v>141</v>
      </c>
      <c r="D55" s="1">
        <v>1330</v>
      </c>
      <c r="E55" s="1">
        <v>61</v>
      </c>
      <c r="F55" s="1">
        <v>4.0999999999999996</v>
      </c>
      <c r="K55" s="1">
        <v>805.36</v>
      </c>
      <c r="L55" s="1">
        <v>36.9</v>
      </c>
      <c r="N55" s="1">
        <v>2220.4</v>
      </c>
      <c r="P55" s="1">
        <v>2220.4</v>
      </c>
      <c r="Q55" s="1">
        <v>12232</v>
      </c>
      <c r="S55" s="76">
        <v>1.4250000000000001E-2</v>
      </c>
      <c r="T55" s="76">
        <v>3.5999999999999997E-2</v>
      </c>
      <c r="U55" s="76">
        <v>4.5999999999999999E-2</v>
      </c>
      <c r="AB55" s="1"/>
      <c r="AC55" s="1"/>
      <c r="AF55" s="1"/>
    </row>
    <row r="56" spans="1:32">
      <c r="A56" s="1">
        <v>52</v>
      </c>
      <c r="B56" s="1">
        <v>1750</v>
      </c>
      <c r="C56" s="1" t="s">
        <v>142</v>
      </c>
      <c r="D56" s="1">
        <v>1410</v>
      </c>
      <c r="E56" s="1">
        <v>61</v>
      </c>
      <c r="F56" s="1">
        <v>4.3029999999999999</v>
      </c>
      <c r="K56" s="1">
        <v>887.08</v>
      </c>
      <c r="L56" s="1">
        <v>38.700000000000003</v>
      </c>
      <c r="N56" s="1">
        <v>2445.6999999999998</v>
      </c>
      <c r="P56" s="1">
        <v>2445.6999999999998</v>
      </c>
      <c r="Q56" s="1">
        <v>13474</v>
      </c>
      <c r="S56" s="76">
        <v>1.495E-2</v>
      </c>
      <c r="T56" s="76">
        <v>3.2000000000000001E-2</v>
      </c>
      <c r="U56" s="76">
        <v>4.2000000000000003E-2</v>
      </c>
      <c r="AB56" s="1"/>
      <c r="AC56" s="1"/>
      <c r="AF56" s="1"/>
    </row>
    <row r="57" spans="1:32">
      <c r="A57" s="1">
        <v>53</v>
      </c>
      <c r="B57" s="1">
        <v>2000</v>
      </c>
      <c r="C57" s="1" t="s">
        <v>143</v>
      </c>
      <c r="D57" s="1">
        <v>1520</v>
      </c>
      <c r="E57" s="1">
        <v>91</v>
      </c>
      <c r="F57" s="1">
        <v>3.7639999999999998</v>
      </c>
      <c r="K57" s="1">
        <v>1012.58</v>
      </c>
      <c r="L57" s="1">
        <v>41.4</v>
      </c>
      <c r="N57" s="1">
        <v>2791.8</v>
      </c>
      <c r="P57" s="1">
        <v>2791.8</v>
      </c>
      <c r="Q57" s="1">
        <v>15521</v>
      </c>
      <c r="S57" s="76">
        <v>1.6029999999999999E-2</v>
      </c>
      <c r="T57" s="76">
        <v>2.8000000000000001E-2</v>
      </c>
      <c r="U57" s="76">
        <v>3.7999999999999999E-2</v>
      </c>
      <c r="AB57" s="1"/>
      <c r="AC57" s="1"/>
      <c r="AF57" s="1"/>
    </row>
    <row r="58" spans="1:32">
      <c r="A58" s="1">
        <v>54</v>
      </c>
      <c r="B58" s="1">
        <v>2250</v>
      </c>
      <c r="C58" s="1" t="s">
        <v>144</v>
      </c>
      <c r="D58" s="1">
        <v>1610</v>
      </c>
      <c r="E58" s="1">
        <v>91</v>
      </c>
      <c r="F58" s="1">
        <v>3.9929999999999999</v>
      </c>
      <c r="K58" s="1">
        <v>1139.54</v>
      </c>
      <c r="L58" s="1">
        <v>43.9</v>
      </c>
      <c r="N58" s="1">
        <v>3172.6</v>
      </c>
      <c r="P58" s="1">
        <v>3172.6</v>
      </c>
      <c r="Q58" s="1">
        <v>17116</v>
      </c>
      <c r="S58" s="76">
        <v>1.7000000000000001E-2</v>
      </c>
      <c r="T58" s="76">
        <v>2.5999999999999999E-2</v>
      </c>
      <c r="U58" s="76">
        <v>3.4000000000000002E-2</v>
      </c>
      <c r="AB58" s="1"/>
      <c r="AC58" s="1"/>
      <c r="AF58" s="1"/>
    </row>
    <row r="59" spans="1:32">
      <c r="A59" s="1">
        <v>55</v>
      </c>
      <c r="B59" s="1">
        <v>2500</v>
      </c>
      <c r="C59" s="1" t="s">
        <v>145</v>
      </c>
      <c r="D59" s="1">
        <v>1710</v>
      </c>
      <c r="E59" s="1">
        <v>91</v>
      </c>
      <c r="F59" s="1">
        <v>4.2089999999999996</v>
      </c>
      <c r="K59" s="1">
        <v>1266.1600000000001</v>
      </c>
      <c r="L59" s="1">
        <v>46.3</v>
      </c>
      <c r="N59" s="1">
        <v>3525.1</v>
      </c>
      <c r="P59" s="1">
        <v>3525.1</v>
      </c>
      <c r="Q59" s="1">
        <v>19018</v>
      </c>
      <c r="S59" s="76">
        <v>1.7919999999999998E-2</v>
      </c>
      <c r="T59" s="76">
        <v>2.3E-2</v>
      </c>
      <c r="U59" s="76">
        <v>3.2000000000000001E-2</v>
      </c>
      <c r="AB59" s="1"/>
      <c r="AC59" s="1"/>
      <c r="AF59" s="1"/>
    </row>
    <row r="60" spans="1:32">
      <c r="A60" s="1">
        <v>56</v>
      </c>
      <c r="B60" s="1">
        <v>2750</v>
      </c>
      <c r="C60" s="1" t="s">
        <v>146</v>
      </c>
      <c r="D60" s="1">
        <v>1800</v>
      </c>
      <c r="E60" s="1">
        <v>91</v>
      </c>
      <c r="F60" s="1">
        <v>4.415</v>
      </c>
      <c r="K60" s="1">
        <v>1393.13</v>
      </c>
      <c r="L60" s="1">
        <v>48.6</v>
      </c>
      <c r="N60" s="1">
        <v>3878.6</v>
      </c>
      <c r="P60" s="1">
        <v>3878.6</v>
      </c>
      <c r="Q60" s="1">
        <v>20925</v>
      </c>
      <c r="S60" s="76">
        <v>1.8800000000000001E-2</v>
      </c>
      <c r="T60" s="76">
        <v>2.1000000000000001E-2</v>
      </c>
      <c r="U60" s="76">
        <v>2.9000000000000001E-2</v>
      </c>
      <c r="AB60" s="1"/>
      <c r="AC60" s="1"/>
      <c r="AF60" s="1"/>
    </row>
    <row r="61" spans="1:32">
      <c r="A61" s="1">
        <v>57</v>
      </c>
      <c r="B61" s="1">
        <v>3000</v>
      </c>
      <c r="C61" s="1" t="s">
        <v>147</v>
      </c>
      <c r="D61" s="1">
        <v>1880</v>
      </c>
      <c r="E61" s="1">
        <v>127</v>
      </c>
      <c r="F61" s="1">
        <v>3.9039999999999999</v>
      </c>
      <c r="K61" s="1">
        <v>1520.24</v>
      </c>
      <c r="L61" s="1">
        <v>50.8</v>
      </c>
      <c r="N61" s="1">
        <v>4232.5</v>
      </c>
      <c r="P61" s="1">
        <v>4232.5</v>
      </c>
      <c r="Q61" s="1">
        <v>22902</v>
      </c>
      <c r="S61" s="76">
        <v>1.968E-2</v>
      </c>
      <c r="T61" s="76">
        <v>1.9E-2</v>
      </c>
      <c r="U61" s="76">
        <v>2.8000000000000001E-2</v>
      </c>
      <c r="AB61" s="1"/>
      <c r="AC61" s="1"/>
      <c r="AF61" s="1"/>
    </row>
    <row r="62" spans="1:32">
      <c r="A62" s="1">
        <v>58</v>
      </c>
      <c r="B62" s="1">
        <v>3500</v>
      </c>
      <c r="C62" s="1" t="s">
        <v>148</v>
      </c>
      <c r="D62" s="1">
        <v>2030</v>
      </c>
      <c r="E62" s="1">
        <v>127</v>
      </c>
      <c r="F62" s="1">
        <v>4.2160000000000002</v>
      </c>
      <c r="K62" s="1">
        <v>1772.94</v>
      </c>
      <c r="L62" s="1">
        <v>54.8</v>
      </c>
      <c r="N62" s="1">
        <v>4984</v>
      </c>
      <c r="P62" s="1">
        <v>4984</v>
      </c>
      <c r="Q62" s="1">
        <v>26709</v>
      </c>
      <c r="S62" s="76">
        <v>2.1250000000000002E-2</v>
      </c>
      <c r="T62" s="76">
        <v>1.7000000000000001E-2</v>
      </c>
      <c r="U62" s="76">
        <v>2.5000000000000001E-2</v>
      </c>
      <c r="AB62" s="1"/>
      <c r="AC62" s="1"/>
      <c r="AF62" s="1"/>
    </row>
    <row r="63" spans="1:32">
      <c r="AB63" s="1"/>
      <c r="AC63" s="1"/>
    </row>
  </sheetData>
  <sortState xmlns:xlrd2="http://schemas.microsoft.com/office/spreadsheetml/2017/richdata2" ref="V15:AI63">
    <sortCondition ref="V14:V62"/>
  </sortState>
  <mergeCells count="21">
    <mergeCell ref="C1:C3"/>
    <mergeCell ref="E1:H1"/>
    <mergeCell ref="I1:K1"/>
    <mergeCell ref="L1:L3"/>
    <mergeCell ref="M1:M3"/>
    <mergeCell ref="A1:A3"/>
    <mergeCell ref="S1:S3"/>
    <mergeCell ref="T1:T3"/>
    <mergeCell ref="U1:U3"/>
    <mergeCell ref="E2:F2"/>
    <mergeCell ref="G2:H2"/>
    <mergeCell ref="I2:I3"/>
    <mergeCell ref="J2:J3"/>
    <mergeCell ref="K2:K3"/>
    <mergeCell ref="N1:N3"/>
    <mergeCell ref="O1:O3"/>
    <mergeCell ref="P1:P3"/>
    <mergeCell ref="Q1:Q3"/>
    <mergeCell ref="R1:R3"/>
    <mergeCell ref="D1:D3"/>
    <mergeCell ref="B1:B3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8CA91-50C6-4BE2-A776-84F7002C05F2}">
  <sheetPr codeName="Planilha4"/>
  <dimension ref="A1:X62"/>
  <sheetViews>
    <sheetView topLeftCell="A14" workbookViewId="0">
      <selection activeCell="B37" activeCellId="13" sqref="B4:D4 B5:D5 B9:D9 B11:D11 B13:D13 B15:D15 B17:D17 B20:D20 B22:D22 B25:D25 B28:D28 B31:D31 B33:D33 B37:D37"/>
    </sheetView>
  </sheetViews>
  <sheetFormatPr defaultRowHeight="15"/>
  <cols>
    <col min="1" max="1" width="4.7109375" style="1" bestFit="1" customWidth="1"/>
    <col min="3" max="3" width="9.85546875" bestFit="1" customWidth="1"/>
    <col min="4" max="4" width="12.7109375" style="1" customWidth="1"/>
    <col min="5" max="5" width="11.28515625" bestFit="1" customWidth="1"/>
    <col min="10" max="10" width="8.85546875" style="1"/>
    <col min="13" max="13" width="8.85546875" style="1"/>
    <col min="15" max="15" width="11" bestFit="1" customWidth="1"/>
  </cols>
  <sheetData>
    <row r="1" spans="1:24" ht="16.149999999999999" customHeight="1" thickBot="1">
      <c r="A1" s="491" t="s">
        <v>393</v>
      </c>
      <c r="B1" s="493" t="s">
        <v>348</v>
      </c>
      <c r="C1" s="491" t="s">
        <v>27</v>
      </c>
      <c r="D1" s="493" t="s">
        <v>77</v>
      </c>
      <c r="E1" s="75" t="s">
        <v>35</v>
      </c>
      <c r="F1" s="493" t="s">
        <v>302</v>
      </c>
      <c r="G1" s="491" t="s">
        <v>350</v>
      </c>
      <c r="H1" s="491"/>
      <c r="I1" s="493" t="s">
        <v>352</v>
      </c>
      <c r="J1" s="493" t="s">
        <v>353</v>
      </c>
      <c r="K1" s="492" t="s">
        <v>394</v>
      </c>
      <c r="L1" s="492"/>
      <c r="M1" s="493" t="s">
        <v>78</v>
      </c>
      <c r="N1" s="147" t="s">
        <v>382</v>
      </c>
      <c r="O1" s="147" t="s">
        <v>383</v>
      </c>
      <c r="P1" s="147" t="s">
        <v>349</v>
      </c>
      <c r="Q1" s="147" t="s">
        <v>384</v>
      </c>
      <c r="R1" s="147" t="s">
        <v>385</v>
      </c>
      <c r="S1" s="147" t="s">
        <v>165</v>
      </c>
      <c r="T1" s="147" t="s">
        <v>27</v>
      </c>
      <c r="U1" s="147" t="s">
        <v>165</v>
      </c>
      <c r="W1" s="148" t="s">
        <v>386</v>
      </c>
      <c r="X1" s="148">
        <v>1</v>
      </c>
    </row>
    <row r="2" spans="1:24" ht="30.75" thickBot="1">
      <c r="A2" s="491"/>
      <c r="B2" s="493"/>
      <c r="C2" s="491"/>
      <c r="D2" s="491"/>
      <c r="E2" s="75" t="s">
        <v>395</v>
      </c>
      <c r="F2" s="493"/>
      <c r="G2" s="75" t="s">
        <v>351</v>
      </c>
      <c r="H2" s="75" t="s">
        <v>173</v>
      </c>
      <c r="I2" s="493"/>
      <c r="J2" s="493"/>
      <c r="K2" s="180" t="s">
        <v>380</v>
      </c>
      <c r="L2" s="180" t="s">
        <v>381</v>
      </c>
      <c r="M2" s="491"/>
      <c r="N2" s="147">
        <f>F3</f>
        <v>5</v>
      </c>
      <c r="O2" s="147">
        <v>3</v>
      </c>
      <c r="P2" s="147">
        <f>H3</f>
        <v>7</v>
      </c>
      <c r="Q2" s="147">
        <f>M3</f>
        <v>12</v>
      </c>
      <c r="R2" s="147">
        <f>L3</f>
        <v>11</v>
      </c>
      <c r="S2" s="147">
        <f>B3</f>
        <v>1</v>
      </c>
      <c r="T2" s="147">
        <f>C3</f>
        <v>2</v>
      </c>
      <c r="U2" s="147">
        <v>18</v>
      </c>
      <c r="W2" s="148" t="s">
        <v>387</v>
      </c>
      <c r="X2" s="148">
        <v>2</v>
      </c>
    </row>
    <row r="3" spans="1:24" ht="15.75" thickBot="1">
      <c r="A3" s="75"/>
      <c r="B3" s="75">
        <v>1</v>
      </c>
      <c r="C3" s="75">
        <v>2</v>
      </c>
      <c r="D3" s="75">
        <v>3</v>
      </c>
      <c r="E3" s="75">
        <v>4</v>
      </c>
      <c r="F3" s="75">
        <v>5</v>
      </c>
      <c r="G3" s="75">
        <v>6</v>
      </c>
      <c r="H3" s="75">
        <v>7</v>
      </c>
      <c r="I3" s="75">
        <v>8</v>
      </c>
      <c r="J3" s="75">
        <v>9</v>
      </c>
      <c r="K3" s="75">
        <v>10</v>
      </c>
      <c r="L3" s="75">
        <v>11</v>
      </c>
      <c r="M3" s="75">
        <v>12</v>
      </c>
      <c r="N3" s="151" cm="1">
        <f t="array" ref="N3">INDEX($B$4:$M$80,$U$2,N2)</f>
        <v>177.62</v>
      </c>
      <c r="O3" s="151" cm="1">
        <f t="array" ref="O3">INDEX($B$4:$M$80,$U$2,O2)</f>
        <v>520</v>
      </c>
      <c r="P3" s="151" cm="1">
        <f t="array" ref="P3">INDEX($B$4:$M$80,$U$2,P2)</f>
        <v>17.25</v>
      </c>
      <c r="Q3" s="151" cm="1">
        <f t="array" ref="Q3">INDEX($B$4:$M$80,$U$2,Q2)</f>
        <v>6.5300000000000002E-3</v>
      </c>
      <c r="R3" s="151" cm="1">
        <f t="array" ref="R3">INDEX($B$4:$M$80,$U$2,R2)</f>
        <v>0.22600000000000001</v>
      </c>
      <c r="S3" s="151" cm="1">
        <f t="array" ref="S3">INDEX($B$4:$M$80,$U$2,S2)</f>
        <v>350</v>
      </c>
      <c r="T3" s="151" t="str" cm="1">
        <f t="array" ref="T3">INDEX($B$4:$M$80,$U$2,T2)</f>
        <v>350MCM</v>
      </c>
      <c r="W3" s="148" t="s">
        <v>388</v>
      </c>
      <c r="X3" s="148">
        <v>3</v>
      </c>
    </row>
    <row r="4" spans="1:24">
      <c r="A4" s="75">
        <v>1</v>
      </c>
      <c r="B4" s="1">
        <v>30.6</v>
      </c>
      <c r="C4" s="1" t="s">
        <v>341</v>
      </c>
      <c r="D4" s="1">
        <v>110</v>
      </c>
      <c r="E4" s="1">
        <v>7</v>
      </c>
      <c r="F4" s="1">
        <v>15.52</v>
      </c>
      <c r="G4" s="1">
        <v>1.68</v>
      </c>
      <c r="H4" s="1">
        <v>5.04</v>
      </c>
      <c r="I4" s="1">
        <v>42.57</v>
      </c>
      <c r="J4" s="1">
        <v>502.7</v>
      </c>
      <c r="K4" s="1">
        <v>2.1587999999999998</v>
      </c>
      <c r="L4" s="1">
        <v>2.5720000000000001</v>
      </c>
      <c r="M4" s="1">
        <v>1.83E-3</v>
      </c>
    </row>
    <row r="5" spans="1:24">
      <c r="A5" s="75">
        <v>2</v>
      </c>
      <c r="B5" s="1">
        <v>48.7</v>
      </c>
      <c r="C5" s="1" t="s">
        <v>342</v>
      </c>
      <c r="D5" s="1">
        <v>150</v>
      </c>
      <c r="E5" s="1">
        <v>7</v>
      </c>
      <c r="F5" s="1">
        <v>24.71</v>
      </c>
      <c r="G5" s="1">
        <v>2.12</v>
      </c>
      <c r="H5" s="1">
        <v>6.36</v>
      </c>
      <c r="I5" s="1">
        <v>67.88</v>
      </c>
      <c r="J5" s="1">
        <v>800.5</v>
      </c>
      <c r="K5" s="1">
        <v>1.3556999999999999</v>
      </c>
      <c r="L5" s="1">
        <v>1.6160000000000001</v>
      </c>
      <c r="M5" s="1">
        <v>2.3E-3</v>
      </c>
    </row>
    <row r="6" spans="1:24">
      <c r="A6" s="75">
        <v>3</v>
      </c>
      <c r="B6" s="1">
        <v>63.4</v>
      </c>
      <c r="C6" s="1" t="s">
        <v>343</v>
      </c>
      <c r="D6" s="1">
        <v>90</v>
      </c>
      <c r="E6" s="1">
        <v>7</v>
      </c>
      <c r="F6" s="1">
        <v>33.54</v>
      </c>
      <c r="G6" s="1">
        <v>2.4700000000000002</v>
      </c>
      <c r="H6" s="1">
        <v>7.41</v>
      </c>
      <c r="I6" s="1">
        <v>92</v>
      </c>
      <c r="J6" s="1">
        <v>1087</v>
      </c>
      <c r="K6" s="1">
        <v>0.99870000000000003</v>
      </c>
      <c r="L6" s="1">
        <v>1.1870000000000001</v>
      </c>
      <c r="M6" s="1">
        <v>2.6900000000000001E-3</v>
      </c>
    </row>
    <row r="7" spans="1:24">
      <c r="A7" s="75">
        <v>4</v>
      </c>
      <c r="B7" s="1">
        <v>63.4</v>
      </c>
      <c r="C7" s="1" t="s">
        <v>343</v>
      </c>
      <c r="D7" s="1">
        <v>90</v>
      </c>
      <c r="E7" s="1">
        <v>7</v>
      </c>
      <c r="F7" s="1">
        <v>33.54</v>
      </c>
      <c r="G7" s="1">
        <v>2.4700000000000002</v>
      </c>
      <c r="H7" s="1">
        <v>7.41</v>
      </c>
      <c r="I7" s="1">
        <v>137.80000000000001</v>
      </c>
      <c r="J7" s="1">
        <v>1087</v>
      </c>
      <c r="K7" s="1">
        <v>0.99870000000000003</v>
      </c>
      <c r="L7" s="1">
        <v>1.1870000000000001</v>
      </c>
      <c r="M7" s="1">
        <v>2.6900000000000001E-3</v>
      </c>
    </row>
    <row r="8" spans="1:24">
      <c r="A8" s="75">
        <v>5</v>
      </c>
      <c r="B8" s="1">
        <v>63.4</v>
      </c>
      <c r="C8" s="1" t="s">
        <v>343</v>
      </c>
      <c r="D8" s="1">
        <v>90</v>
      </c>
      <c r="E8" s="1">
        <v>7</v>
      </c>
      <c r="F8" s="1">
        <v>33.54</v>
      </c>
      <c r="G8" s="1">
        <v>2.4700000000000002</v>
      </c>
      <c r="H8" s="1">
        <v>7.41</v>
      </c>
      <c r="I8" s="1">
        <v>139.9</v>
      </c>
      <c r="J8" s="1">
        <v>1087</v>
      </c>
      <c r="K8" s="1">
        <v>0.99870000000000003</v>
      </c>
      <c r="L8" s="1">
        <v>1.1870000000000001</v>
      </c>
      <c r="M8" s="1">
        <v>2.6900000000000001E-3</v>
      </c>
    </row>
    <row r="9" spans="1:24">
      <c r="A9" s="75">
        <v>6</v>
      </c>
      <c r="B9" s="1">
        <v>77.5</v>
      </c>
      <c r="C9" s="1" t="s">
        <v>344</v>
      </c>
      <c r="D9" s="1">
        <v>190</v>
      </c>
      <c r="E9" s="1">
        <v>7</v>
      </c>
      <c r="F9" s="1">
        <v>39.19</v>
      </c>
      <c r="G9" s="1">
        <v>2.67</v>
      </c>
      <c r="H9" s="1">
        <v>8.01</v>
      </c>
      <c r="I9" s="1">
        <v>107.5</v>
      </c>
      <c r="J9" s="1">
        <v>1269.5</v>
      </c>
      <c r="K9" s="1">
        <v>0.85470000000000002</v>
      </c>
      <c r="L9" s="1">
        <v>1.0189999999999999</v>
      </c>
      <c r="M9" s="1">
        <v>2.9099999999999998E-3</v>
      </c>
      <c r="Q9" s="89" t="s">
        <v>341</v>
      </c>
    </row>
    <row r="10" spans="1:24">
      <c r="A10" s="75">
        <v>7</v>
      </c>
      <c r="B10" s="1">
        <v>105.6</v>
      </c>
      <c r="C10" s="1" t="s">
        <v>345</v>
      </c>
      <c r="D10" s="1">
        <v>220</v>
      </c>
      <c r="E10" s="1">
        <v>7</v>
      </c>
      <c r="F10" s="1">
        <v>53.52</v>
      </c>
      <c r="G10" s="1">
        <v>3.12</v>
      </c>
      <c r="H10" s="1">
        <v>9.36</v>
      </c>
      <c r="I10" s="1">
        <v>146.9</v>
      </c>
      <c r="J10" s="1">
        <v>1734.5</v>
      </c>
      <c r="K10" s="1">
        <v>0.62590000000000001</v>
      </c>
      <c r="L10" s="1">
        <v>0.746</v>
      </c>
      <c r="M10" s="1">
        <v>3.3899999999999998E-3</v>
      </c>
      <c r="Q10" s="89" t="s">
        <v>342</v>
      </c>
    </row>
    <row r="11" spans="1:24">
      <c r="A11" s="75">
        <v>8</v>
      </c>
      <c r="B11" s="1">
        <v>123.3</v>
      </c>
      <c r="C11" s="1" t="s">
        <v>346</v>
      </c>
      <c r="D11" s="1">
        <v>260</v>
      </c>
      <c r="E11" s="1">
        <v>7</v>
      </c>
      <c r="F11" s="1">
        <v>62.44</v>
      </c>
      <c r="G11" s="1">
        <v>3.37</v>
      </c>
      <c r="H11" s="1">
        <v>10.11</v>
      </c>
      <c r="I11" s="1">
        <v>171.3</v>
      </c>
      <c r="J11" s="1">
        <v>1937.4</v>
      </c>
      <c r="K11" s="1">
        <v>0.53649999999999998</v>
      </c>
      <c r="L11" s="1">
        <v>0.63900000000000001</v>
      </c>
      <c r="M11" s="1">
        <v>3.6700000000000001E-3</v>
      </c>
      <c r="Q11" s="89" t="s">
        <v>344</v>
      </c>
    </row>
    <row r="12" spans="1:24">
      <c r="A12" s="75">
        <v>9</v>
      </c>
      <c r="B12" s="1">
        <v>133.1</v>
      </c>
      <c r="C12" s="1" t="s">
        <v>347</v>
      </c>
      <c r="D12" s="1">
        <v>280</v>
      </c>
      <c r="E12" s="1">
        <v>7</v>
      </c>
      <c r="F12" s="1">
        <v>67.349999999999994</v>
      </c>
      <c r="G12" s="1">
        <v>3.5</v>
      </c>
      <c r="H12" s="1">
        <v>10.5</v>
      </c>
      <c r="I12" s="1">
        <v>184.8</v>
      </c>
      <c r="J12" s="1">
        <v>2090.4</v>
      </c>
      <c r="K12" s="1">
        <v>0.49740000000000001</v>
      </c>
      <c r="L12" s="1">
        <v>0.59199999999999997</v>
      </c>
      <c r="M12" s="1">
        <v>3.81E-3</v>
      </c>
      <c r="Q12" s="89" t="s">
        <v>392</v>
      </c>
    </row>
    <row r="13" spans="1:24">
      <c r="A13" s="75">
        <v>10</v>
      </c>
      <c r="B13" s="1">
        <v>155.4</v>
      </c>
      <c r="C13" s="1" t="s">
        <v>354</v>
      </c>
      <c r="D13" s="1">
        <v>300</v>
      </c>
      <c r="E13" s="1">
        <v>7</v>
      </c>
      <c r="F13" s="1">
        <v>78.55</v>
      </c>
      <c r="G13" s="1">
        <v>3.78</v>
      </c>
      <c r="H13" s="1">
        <v>11.34</v>
      </c>
      <c r="I13" s="1">
        <v>215.9</v>
      </c>
      <c r="J13" s="1">
        <v>2438.1</v>
      </c>
      <c r="K13" s="1">
        <v>0.4264</v>
      </c>
      <c r="L13" s="1">
        <v>0.50700000000000001</v>
      </c>
      <c r="M13" s="1">
        <v>4.1200000000000004E-3</v>
      </c>
      <c r="Q13" s="89" t="s">
        <v>354</v>
      </c>
    </row>
    <row r="14" spans="1:24">
      <c r="A14" s="75">
        <v>11</v>
      </c>
      <c r="B14" s="1">
        <v>167.8</v>
      </c>
      <c r="C14" s="1" t="s">
        <v>355</v>
      </c>
      <c r="D14" s="1">
        <v>320</v>
      </c>
      <c r="E14" s="1">
        <v>7</v>
      </c>
      <c r="F14" s="1">
        <v>84.91</v>
      </c>
      <c r="G14" s="1">
        <v>3.93</v>
      </c>
      <c r="H14" s="1">
        <v>11.79</v>
      </c>
      <c r="I14" s="1">
        <v>233</v>
      </c>
      <c r="J14" s="1">
        <v>2634.9</v>
      </c>
      <c r="K14" s="1">
        <v>0.39450000000000002</v>
      </c>
      <c r="L14" s="1">
        <v>0.47</v>
      </c>
      <c r="M14" s="1">
        <v>4.28E-3</v>
      </c>
      <c r="Q14" s="89" t="s">
        <v>356</v>
      </c>
    </row>
    <row r="15" spans="1:24">
      <c r="A15" s="75">
        <v>12</v>
      </c>
      <c r="B15" s="1">
        <v>195.7</v>
      </c>
      <c r="C15" s="1" t="s">
        <v>356</v>
      </c>
      <c r="D15" s="1">
        <v>340</v>
      </c>
      <c r="E15" s="1">
        <v>7</v>
      </c>
      <c r="F15" s="1">
        <v>99.3</v>
      </c>
      <c r="G15" s="1">
        <v>4.25</v>
      </c>
      <c r="H15" s="1">
        <v>12.75</v>
      </c>
      <c r="I15" s="1">
        <v>272.8</v>
      </c>
      <c r="J15" s="1">
        <v>3081.5</v>
      </c>
      <c r="K15" s="1">
        <v>0.33729999999999999</v>
      </c>
      <c r="L15" s="1">
        <v>0.40300000000000002</v>
      </c>
      <c r="M15" s="1">
        <v>4.62E-3</v>
      </c>
      <c r="Q15" s="89" t="s">
        <v>358</v>
      </c>
    </row>
    <row r="16" spans="1:24">
      <c r="A16" s="75">
        <v>13</v>
      </c>
      <c r="B16" s="1">
        <v>211.6</v>
      </c>
      <c r="C16" s="1" t="s">
        <v>357</v>
      </c>
      <c r="D16" s="1">
        <v>370</v>
      </c>
      <c r="E16" s="1">
        <v>7</v>
      </c>
      <c r="F16" s="1">
        <v>107.41</v>
      </c>
      <c r="G16" s="1">
        <v>4.42</v>
      </c>
      <c r="H16" s="1">
        <v>13.26</v>
      </c>
      <c r="I16" s="1">
        <v>294.7</v>
      </c>
      <c r="J16" s="1">
        <v>3333.4</v>
      </c>
      <c r="K16" s="1">
        <v>0.31190000000000001</v>
      </c>
      <c r="L16" s="1">
        <v>0.372</v>
      </c>
      <c r="M16" s="1">
        <v>4.81E-3</v>
      </c>
      <c r="Q16" s="89" t="s">
        <v>361</v>
      </c>
    </row>
    <row r="17" spans="1:17">
      <c r="A17" s="75">
        <v>14</v>
      </c>
      <c r="B17" s="1">
        <v>246.9</v>
      </c>
      <c r="C17" s="1" t="s">
        <v>358</v>
      </c>
      <c r="D17" s="1">
        <v>400</v>
      </c>
      <c r="E17" s="1">
        <v>7</v>
      </c>
      <c r="F17" s="1">
        <v>125.09</v>
      </c>
      <c r="G17" s="1">
        <v>4.7699999999999996</v>
      </c>
      <c r="H17" s="1">
        <v>14.31</v>
      </c>
      <c r="I17" s="1">
        <v>343.8</v>
      </c>
      <c r="J17" s="1">
        <v>3882</v>
      </c>
      <c r="K17" s="1">
        <v>0.26779999999999998</v>
      </c>
      <c r="L17" s="1">
        <v>0.31900000000000001</v>
      </c>
      <c r="M17" s="1">
        <v>5.1900000000000002E-3</v>
      </c>
      <c r="Q17" s="89" t="s">
        <v>363</v>
      </c>
    </row>
    <row r="18" spans="1:17">
      <c r="A18" s="75">
        <v>15</v>
      </c>
      <c r="B18" s="1">
        <v>250</v>
      </c>
      <c r="C18" s="1" t="s">
        <v>359</v>
      </c>
      <c r="D18" s="1">
        <v>400</v>
      </c>
      <c r="E18" s="1">
        <v>19</v>
      </c>
      <c r="F18" s="1">
        <v>126.37</v>
      </c>
      <c r="G18" s="1">
        <v>2.91</v>
      </c>
      <c r="H18" s="1">
        <v>14.55</v>
      </c>
      <c r="I18" s="1">
        <v>346.7</v>
      </c>
      <c r="J18" s="1">
        <v>3955.6</v>
      </c>
      <c r="K18" s="1">
        <v>0.2651</v>
      </c>
      <c r="L18" s="1">
        <v>0.316</v>
      </c>
      <c r="M18" s="1">
        <v>5.5199999999999997E-3</v>
      </c>
      <c r="Q18" s="89" t="s">
        <v>366</v>
      </c>
    </row>
    <row r="19" spans="1:17">
      <c r="A19" s="75">
        <v>16</v>
      </c>
      <c r="B19" s="1">
        <v>300</v>
      </c>
      <c r="C19" s="1" t="s">
        <v>360</v>
      </c>
      <c r="D19" s="1">
        <v>440</v>
      </c>
      <c r="E19" s="1">
        <v>19</v>
      </c>
      <c r="F19" s="1">
        <v>151.85</v>
      </c>
      <c r="G19" s="1">
        <v>3.19</v>
      </c>
      <c r="H19" s="1">
        <v>15.95</v>
      </c>
      <c r="I19" s="1">
        <v>416.7</v>
      </c>
      <c r="J19" s="1">
        <v>4767.1000000000004</v>
      </c>
      <c r="K19" s="1">
        <v>0.22059999999999999</v>
      </c>
      <c r="L19" s="1">
        <v>0.26300000000000001</v>
      </c>
      <c r="M19" s="1">
        <v>6.0499999999999998E-3</v>
      </c>
      <c r="Q19" s="89" t="s">
        <v>369</v>
      </c>
    </row>
    <row r="20" spans="1:17">
      <c r="A20" s="75">
        <v>17</v>
      </c>
      <c r="B20" s="1">
        <v>312.8</v>
      </c>
      <c r="C20" s="1" t="s">
        <v>361</v>
      </c>
      <c r="D20" s="1">
        <v>460</v>
      </c>
      <c r="E20" s="1">
        <v>19</v>
      </c>
      <c r="F20" s="1">
        <v>158.59</v>
      </c>
      <c r="G20" s="1">
        <v>3.26</v>
      </c>
      <c r="H20" s="1">
        <v>16.3</v>
      </c>
      <c r="I20" s="1">
        <v>436.7</v>
      </c>
      <c r="J20" s="1">
        <v>4767.1000000000004</v>
      </c>
      <c r="K20" s="1">
        <v>0.2112</v>
      </c>
      <c r="L20" s="1">
        <v>0.252</v>
      </c>
      <c r="M20" s="1">
        <v>6.1799999999999997E-3</v>
      </c>
      <c r="Q20" s="89" t="s">
        <v>372</v>
      </c>
    </row>
    <row r="21" spans="1:17">
      <c r="A21" s="75">
        <v>18</v>
      </c>
      <c r="B21" s="1">
        <v>350</v>
      </c>
      <c r="C21" s="1" t="s">
        <v>362</v>
      </c>
      <c r="D21" s="1">
        <v>520</v>
      </c>
      <c r="E21" s="1">
        <v>19</v>
      </c>
      <c r="F21" s="1">
        <v>177.62</v>
      </c>
      <c r="G21" s="1">
        <v>3.45</v>
      </c>
      <c r="H21" s="1">
        <v>17.25</v>
      </c>
      <c r="I21" s="1">
        <v>487.4</v>
      </c>
      <c r="J21" s="1">
        <v>5339.1</v>
      </c>
      <c r="K21" s="1">
        <v>0.18859999999999999</v>
      </c>
      <c r="L21" s="1">
        <v>0.22600000000000001</v>
      </c>
      <c r="M21" s="1">
        <v>6.5300000000000002E-3</v>
      </c>
      <c r="Q21" s="89" t="s">
        <v>374</v>
      </c>
    </row>
    <row r="22" spans="1:17">
      <c r="A22" s="75">
        <v>19</v>
      </c>
      <c r="B22" s="1">
        <v>394.5</v>
      </c>
      <c r="C22" s="1" t="s">
        <v>363</v>
      </c>
      <c r="D22" s="1">
        <v>530</v>
      </c>
      <c r="E22" s="1">
        <v>19</v>
      </c>
      <c r="F22" s="1">
        <v>199.9</v>
      </c>
      <c r="G22" s="1">
        <v>3.66</v>
      </c>
      <c r="H22" s="1">
        <v>18.3</v>
      </c>
      <c r="I22" s="1">
        <v>550.4</v>
      </c>
      <c r="J22" s="1">
        <v>6009.1</v>
      </c>
      <c r="K22" s="1">
        <v>0.1676</v>
      </c>
      <c r="L22" s="1">
        <v>0.2</v>
      </c>
      <c r="M22" s="1">
        <v>6.9300000000000004E-3</v>
      </c>
      <c r="Q22" s="89" t="s">
        <v>378</v>
      </c>
    </row>
    <row r="23" spans="1:17">
      <c r="A23" s="75">
        <v>20</v>
      </c>
      <c r="B23" s="1">
        <v>400</v>
      </c>
      <c r="C23" s="1" t="s">
        <v>364</v>
      </c>
      <c r="D23" s="1">
        <v>540</v>
      </c>
      <c r="E23" s="1">
        <v>19</v>
      </c>
      <c r="F23" s="1">
        <v>203.19</v>
      </c>
      <c r="G23" s="1">
        <v>3.69</v>
      </c>
      <c r="H23" s="1">
        <v>18.45</v>
      </c>
      <c r="I23" s="1">
        <v>557.5</v>
      </c>
      <c r="J23" s="1">
        <v>6108</v>
      </c>
      <c r="K23" s="1">
        <v>0.16489999999999999</v>
      </c>
      <c r="L23" s="1">
        <v>0.19800000000000001</v>
      </c>
      <c r="M23" s="1">
        <v>6.9800000000000001E-3</v>
      </c>
    </row>
    <row r="24" spans="1:17">
      <c r="A24" s="75">
        <v>21</v>
      </c>
      <c r="B24" s="1">
        <v>450</v>
      </c>
      <c r="C24" s="1" t="s">
        <v>365</v>
      </c>
      <c r="D24" s="1">
        <v>570</v>
      </c>
      <c r="E24" s="1">
        <v>19</v>
      </c>
      <c r="F24" s="1">
        <v>228.14</v>
      </c>
      <c r="G24" s="1">
        <v>3.91</v>
      </c>
      <c r="H24" s="1">
        <v>19.55</v>
      </c>
      <c r="I24" s="1">
        <v>626</v>
      </c>
      <c r="J24" s="1">
        <v>6858.5</v>
      </c>
      <c r="K24" s="1">
        <v>0.14680000000000001</v>
      </c>
      <c r="L24" s="1">
        <v>0.17599999999999999</v>
      </c>
      <c r="M24" s="1">
        <v>7.4000000000000003E-3</v>
      </c>
    </row>
    <row r="25" spans="1:17">
      <c r="A25" s="75">
        <v>22</v>
      </c>
      <c r="B25" s="1">
        <v>465.4</v>
      </c>
      <c r="C25" s="1" t="s">
        <v>366</v>
      </c>
      <c r="D25" s="1">
        <v>590</v>
      </c>
      <c r="E25" s="1">
        <v>19</v>
      </c>
      <c r="F25" s="1">
        <v>236.38</v>
      </c>
      <c r="G25" s="1">
        <v>3.98</v>
      </c>
      <c r="H25" s="1">
        <v>19.899999999999999</v>
      </c>
      <c r="I25" s="1">
        <v>651</v>
      </c>
      <c r="J25" s="1">
        <v>7106.3</v>
      </c>
      <c r="K25" s="1">
        <v>0.14169999999999999</v>
      </c>
      <c r="L25" s="1">
        <v>0.17</v>
      </c>
      <c r="M25" s="1">
        <v>7.5300000000000002E-3</v>
      </c>
    </row>
    <row r="26" spans="1:17">
      <c r="A26" s="75">
        <v>23</v>
      </c>
      <c r="B26" s="1">
        <v>500</v>
      </c>
      <c r="C26" s="1" t="s">
        <v>367</v>
      </c>
      <c r="D26" s="1">
        <v>640</v>
      </c>
      <c r="E26" s="1">
        <v>19</v>
      </c>
      <c r="F26" s="1">
        <v>253.3</v>
      </c>
      <c r="G26" s="1">
        <v>4.12</v>
      </c>
      <c r="H26" s="1">
        <v>20.6</v>
      </c>
      <c r="I26" s="1">
        <v>694.9</v>
      </c>
      <c r="J26" s="1">
        <v>7615.1</v>
      </c>
      <c r="K26" s="1">
        <v>0.13220000000000001</v>
      </c>
      <c r="L26" s="1">
        <v>0.158</v>
      </c>
      <c r="M26" s="1">
        <v>7.7999999999999996E-3</v>
      </c>
    </row>
    <row r="27" spans="1:17">
      <c r="A27" s="75">
        <v>24</v>
      </c>
      <c r="B27" s="1">
        <v>550</v>
      </c>
      <c r="C27" s="1" t="s">
        <v>368</v>
      </c>
      <c r="D27" s="1">
        <v>660</v>
      </c>
      <c r="E27" s="1">
        <v>37</v>
      </c>
      <c r="F27" s="1">
        <v>279.26</v>
      </c>
      <c r="G27" s="1">
        <v>3.1</v>
      </c>
      <c r="H27" s="1">
        <v>21.7</v>
      </c>
      <c r="I27" s="1">
        <v>771</v>
      </c>
      <c r="J27" s="1">
        <v>8577.7000000000007</v>
      </c>
      <c r="K27" s="1">
        <v>0.12</v>
      </c>
      <c r="L27" s="1">
        <v>0.14399999999999999</v>
      </c>
      <c r="M27" s="1">
        <v>8.3199999999999993E-3</v>
      </c>
    </row>
    <row r="28" spans="1:17">
      <c r="A28" s="75">
        <v>25</v>
      </c>
      <c r="B28" s="1">
        <v>559.5</v>
      </c>
      <c r="C28" s="1" t="s">
        <v>369</v>
      </c>
      <c r="D28" s="1">
        <v>670</v>
      </c>
      <c r="E28" s="1">
        <v>19</v>
      </c>
      <c r="F28" s="1">
        <v>283.67</v>
      </c>
      <c r="G28" s="1">
        <v>4.3600000000000003</v>
      </c>
      <c r="H28" s="1">
        <v>21.8</v>
      </c>
      <c r="I28" s="1">
        <v>781.1</v>
      </c>
      <c r="J28" s="1">
        <v>8527.7999999999993</v>
      </c>
      <c r="K28" s="1">
        <v>0.1181</v>
      </c>
      <c r="L28" s="1">
        <v>0.14199999999999999</v>
      </c>
      <c r="M28" s="1">
        <v>8.26E-3</v>
      </c>
    </row>
    <row r="29" spans="1:17">
      <c r="A29" s="75">
        <v>26</v>
      </c>
      <c r="B29" s="1">
        <v>600</v>
      </c>
      <c r="C29" s="1" t="s">
        <v>370</v>
      </c>
      <c r="D29" s="1">
        <v>710</v>
      </c>
      <c r="E29" s="1">
        <v>37</v>
      </c>
      <c r="F29" s="1">
        <v>303.18</v>
      </c>
      <c r="G29" s="1">
        <v>3.23</v>
      </c>
      <c r="H29" s="1">
        <v>22.61</v>
      </c>
      <c r="I29" s="1">
        <v>831.8</v>
      </c>
      <c r="J29" s="1">
        <v>9311.9</v>
      </c>
      <c r="K29" s="1">
        <v>0.1105</v>
      </c>
      <c r="L29" s="1">
        <v>0.13200000000000001</v>
      </c>
      <c r="M29" s="1">
        <v>8.6899999999999998E-3</v>
      </c>
    </row>
    <row r="30" spans="1:17">
      <c r="A30" s="75">
        <v>27</v>
      </c>
      <c r="B30" s="1">
        <v>650</v>
      </c>
      <c r="C30" s="1" t="s">
        <v>371</v>
      </c>
      <c r="D30" s="1">
        <v>730</v>
      </c>
      <c r="E30" s="1">
        <v>37</v>
      </c>
      <c r="F30" s="1">
        <v>330.03</v>
      </c>
      <c r="G30" s="1">
        <v>3.37</v>
      </c>
      <c r="H30" s="1">
        <v>23.59</v>
      </c>
      <c r="I30" s="1">
        <v>911.1</v>
      </c>
      <c r="J30" s="1">
        <v>9707.5</v>
      </c>
      <c r="K30" s="1">
        <v>0.10150000000000001</v>
      </c>
      <c r="L30" s="1">
        <v>0.122</v>
      </c>
      <c r="M30" s="1">
        <v>9.0399999999999994E-3</v>
      </c>
    </row>
    <row r="31" spans="1:17">
      <c r="A31" s="75">
        <v>28</v>
      </c>
      <c r="B31" s="1">
        <v>652.5</v>
      </c>
      <c r="C31" s="1" t="s">
        <v>372</v>
      </c>
      <c r="D31" s="1">
        <v>730</v>
      </c>
      <c r="E31" s="1">
        <v>19</v>
      </c>
      <c r="F31" s="1">
        <v>331.04</v>
      </c>
      <c r="G31" s="1">
        <v>4.71</v>
      </c>
      <c r="H31" s="1">
        <v>23.55</v>
      </c>
      <c r="I31" s="1">
        <v>911.6</v>
      </c>
      <c r="J31" s="1">
        <v>9952</v>
      </c>
      <c r="K31" s="1">
        <v>0.1012</v>
      </c>
      <c r="L31" s="1">
        <v>0.122</v>
      </c>
      <c r="M31" s="1">
        <v>8.9200000000000008E-3</v>
      </c>
    </row>
    <row r="32" spans="1:17">
      <c r="A32" s="75">
        <v>29</v>
      </c>
      <c r="B32" s="1">
        <v>700</v>
      </c>
      <c r="C32" s="1" t="s">
        <v>373</v>
      </c>
      <c r="D32" s="1">
        <v>750</v>
      </c>
      <c r="E32" s="1">
        <v>37</v>
      </c>
      <c r="F32" s="1">
        <v>353.95</v>
      </c>
      <c r="G32" s="1">
        <v>3.49</v>
      </c>
      <c r="H32" s="1">
        <v>24.43</v>
      </c>
      <c r="I32" s="1">
        <v>971</v>
      </c>
      <c r="J32" s="1">
        <v>10411.1</v>
      </c>
      <c r="K32" s="1">
        <v>9.4600000000000004E-2</v>
      </c>
      <c r="L32" s="1">
        <v>0.114</v>
      </c>
      <c r="M32" s="1">
        <v>9.3900000000000008E-3</v>
      </c>
    </row>
    <row r="33" spans="1:13">
      <c r="A33" s="75">
        <v>30</v>
      </c>
      <c r="B33" s="1">
        <v>740.8</v>
      </c>
      <c r="C33" s="1" t="s">
        <v>374</v>
      </c>
      <c r="D33" s="1">
        <v>790</v>
      </c>
      <c r="E33" s="1">
        <v>37</v>
      </c>
      <c r="F33" s="1">
        <v>374.52</v>
      </c>
      <c r="G33" s="1">
        <v>3.59</v>
      </c>
      <c r="H33" s="1">
        <v>25.13</v>
      </c>
      <c r="I33" s="1">
        <v>1035</v>
      </c>
      <c r="J33" s="1">
        <v>11012.8</v>
      </c>
      <c r="K33" s="1">
        <v>8.9399999999999993E-2</v>
      </c>
      <c r="L33" s="1">
        <v>0.108</v>
      </c>
      <c r="M33" s="1">
        <v>9.6600000000000002E-3</v>
      </c>
    </row>
    <row r="34" spans="1:13">
      <c r="A34" s="75">
        <v>31</v>
      </c>
      <c r="B34" s="1">
        <v>750</v>
      </c>
      <c r="C34" s="1" t="s">
        <v>375</v>
      </c>
      <c r="D34" s="1">
        <v>800</v>
      </c>
      <c r="E34" s="1">
        <v>37</v>
      </c>
      <c r="F34" s="1">
        <v>380.81</v>
      </c>
      <c r="G34" s="1">
        <v>3.62</v>
      </c>
      <c r="H34" s="1">
        <v>25.34</v>
      </c>
      <c r="I34" s="1">
        <v>1052</v>
      </c>
      <c r="J34" s="1">
        <v>11206.5</v>
      </c>
      <c r="K34" s="1">
        <v>8.7999999999999995E-2</v>
      </c>
      <c r="L34" s="1">
        <v>0.106</v>
      </c>
      <c r="M34" s="1">
        <v>9.7199999999999995E-3</v>
      </c>
    </row>
    <row r="35" spans="1:13">
      <c r="A35" s="75">
        <v>32</v>
      </c>
      <c r="B35" s="1">
        <v>800</v>
      </c>
      <c r="C35" s="1" t="s">
        <v>376</v>
      </c>
      <c r="D35" s="1">
        <v>790</v>
      </c>
      <c r="E35" s="1">
        <v>37</v>
      </c>
      <c r="F35" s="1">
        <v>404.31</v>
      </c>
      <c r="G35" s="1">
        <v>3.73</v>
      </c>
      <c r="H35" s="1">
        <v>26.11</v>
      </c>
      <c r="I35" s="1">
        <v>1116</v>
      </c>
      <c r="J35" s="1">
        <v>11889.7</v>
      </c>
      <c r="K35" s="1">
        <v>8.2900000000000001E-2</v>
      </c>
      <c r="L35" s="1">
        <v>9.9000000000000005E-2</v>
      </c>
      <c r="M35" s="1">
        <v>1.0030000000000001E-2</v>
      </c>
    </row>
    <row r="36" spans="1:13">
      <c r="A36" s="75">
        <v>33</v>
      </c>
      <c r="B36" s="1">
        <v>900</v>
      </c>
      <c r="C36" s="1" t="s">
        <v>377</v>
      </c>
      <c r="D36" s="1">
        <v>880</v>
      </c>
      <c r="E36" s="1">
        <v>37</v>
      </c>
      <c r="F36" s="1">
        <v>455.7</v>
      </c>
      <c r="G36" s="1">
        <v>3.96</v>
      </c>
      <c r="H36" s="1">
        <v>27.72</v>
      </c>
      <c r="I36" s="1">
        <v>1251</v>
      </c>
      <c r="J36" s="1">
        <v>13409.1</v>
      </c>
      <c r="K36" s="1">
        <v>7.3499999999999996E-2</v>
      </c>
      <c r="L36" s="1">
        <v>8.8999999999999996E-2</v>
      </c>
      <c r="M36" s="1">
        <v>1.065E-2</v>
      </c>
    </row>
    <row r="37" spans="1:13">
      <c r="A37" s="75">
        <v>34</v>
      </c>
      <c r="B37" s="1">
        <v>927.2</v>
      </c>
      <c r="C37" s="1" t="s">
        <v>378</v>
      </c>
      <c r="D37" s="1">
        <v>910</v>
      </c>
      <c r="E37" s="1">
        <v>37</v>
      </c>
      <c r="F37" s="1">
        <v>469.62</v>
      </c>
      <c r="G37" s="1">
        <v>4.0199999999999996</v>
      </c>
      <c r="H37" s="1">
        <v>28.14</v>
      </c>
      <c r="I37" s="1">
        <v>1296</v>
      </c>
      <c r="J37" s="1">
        <v>13816.9</v>
      </c>
      <c r="K37" s="1">
        <v>7.1300000000000002E-2</v>
      </c>
      <c r="L37" s="1">
        <v>8.5999999999999993E-2</v>
      </c>
      <c r="M37" s="1">
        <v>1.081E-2</v>
      </c>
    </row>
    <row r="38" spans="1:13">
      <c r="A38" s="75">
        <v>35</v>
      </c>
      <c r="B38" s="1">
        <v>1000</v>
      </c>
      <c r="C38" s="1" t="s">
        <v>379</v>
      </c>
      <c r="D38" s="1">
        <v>980</v>
      </c>
      <c r="E38" s="1">
        <v>37</v>
      </c>
      <c r="F38" s="1">
        <v>507.74</v>
      </c>
      <c r="G38" s="1">
        <v>4.18</v>
      </c>
      <c r="H38" s="1">
        <v>29.26</v>
      </c>
      <c r="I38" s="1">
        <v>1393</v>
      </c>
      <c r="J38" s="1">
        <v>14938.6</v>
      </c>
      <c r="K38" s="1">
        <v>6.6000000000000003E-2</v>
      </c>
      <c r="L38" s="1">
        <v>0.08</v>
      </c>
      <c r="M38" s="1">
        <v>1.1220000000000001E-2</v>
      </c>
    </row>
    <row r="39" spans="1:13">
      <c r="E39" s="1"/>
    </row>
    <row r="40" spans="1:13">
      <c r="E40" s="1"/>
    </row>
    <row r="41" spans="1:13">
      <c r="E41" s="1"/>
    </row>
    <row r="42" spans="1:13">
      <c r="E42" s="1"/>
    </row>
    <row r="43" spans="1:13">
      <c r="E43" s="1"/>
    </row>
    <row r="44" spans="1:13">
      <c r="E44" s="1"/>
    </row>
    <row r="45" spans="1:13">
      <c r="E45" s="1"/>
    </row>
    <row r="46" spans="1:13">
      <c r="E46" s="1"/>
    </row>
    <row r="47" spans="1:13">
      <c r="E47" s="1"/>
    </row>
    <row r="48" spans="1:13">
      <c r="E48" s="1"/>
    </row>
    <row r="49" spans="5:5">
      <c r="E49" s="1"/>
    </row>
    <row r="50" spans="5:5">
      <c r="E50" s="1"/>
    </row>
    <row r="51" spans="5:5">
      <c r="E51" s="1"/>
    </row>
    <row r="52" spans="5:5">
      <c r="E52" s="1"/>
    </row>
    <row r="53" spans="5:5">
      <c r="E53" s="1"/>
    </row>
    <row r="54" spans="5:5">
      <c r="E54" s="1"/>
    </row>
    <row r="55" spans="5:5">
      <c r="E55" s="1"/>
    </row>
    <row r="56" spans="5:5">
      <c r="E56" s="1"/>
    </row>
    <row r="57" spans="5:5">
      <c r="E57" s="1"/>
    </row>
    <row r="58" spans="5:5">
      <c r="E58" s="1"/>
    </row>
    <row r="59" spans="5:5">
      <c r="E59" s="1"/>
    </row>
    <row r="60" spans="5:5">
      <c r="E60" s="1"/>
    </row>
    <row r="61" spans="5:5">
      <c r="E61" s="1"/>
    </row>
    <row r="62" spans="5:5">
      <c r="E62" s="1"/>
    </row>
  </sheetData>
  <mergeCells count="10">
    <mergeCell ref="A1:A2"/>
    <mergeCell ref="G1:H1"/>
    <mergeCell ref="K1:L1"/>
    <mergeCell ref="M1:M2"/>
    <mergeCell ref="D1:D2"/>
    <mergeCell ref="B1:B2"/>
    <mergeCell ref="C1:C2"/>
    <mergeCell ref="F1:F2"/>
    <mergeCell ref="J1:J2"/>
    <mergeCell ref="I1:I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CDDA9-9A79-43B6-9FEB-FA54867E5560}">
  <sheetPr codeName="Planilha5"/>
  <dimension ref="B1:AG102"/>
  <sheetViews>
    <sheetView showGridLines="0" topLeftCell="E1" workbookViewId="0">
      <selection activeCell="AC21" sqref="AC21"/>
    </sheetView>
  </sheetViews>
  <sheetFormatPr defaultRowHeight="15"/>
  <cols>
    <col min="1" max="1" width="1.28515625" customWidth="1"/>
    <col min="2" max="2" width="9.85546875" bestFit="1" customWidth="1"/>
    <col min="23" max="23" width="1.5703125" customWidth="1"/>
    <col min="24" max="24" width="4.28515625" style="1" bestFit="1" customWidth="1"/>
    <col min="25" max="25" width="5.7109375" bestFit="1" customWidth="1"/>
    <col min="26" max="29" width="5" bestFit="1" customWidth="1"/>
    <col min="30" max="30" width="4.5703125" customWidth="1"/>
    <col min="31" max="33" width="5.42578125" bestFit="1" customWidth="1"/>
  </cols>
  <sheetData>
    <row r="1" spans="2:33" ht="19.5" thickTop="1">
      <c r="B1" s="302" t="s">
        <v>396</v>
      </c>
      <c r="C1" s="303"/>
      <c r="D1" s="303"/>
      <c r="E1" s="303"/>
      <c r="F1" s="303"/>
      <c r="G1" s="303"/>
      <c r="H1" s="304"/>
      <c r="I1" s="302" t="s">
        <v>397</v>
      </c>
      <c r="J1" s="303"/>
      <c r="K1" s="303"/>
      <c r="L1" s="303"/>
      <c r="M1" s="303"/>
      <c r="N1" s="303"/>
      <c r="O1" s="304"/>
      <c r="P1" s="302" t="s">
        <v>398</v>
      </c>
      <c r="Q1" s="303"/>
      <c r="R1" s="303"/>
      <c r="S1" s="303"/>
      <c r="T1" s="303"/>
      <c r="U1" s="303"/>
      <c r="V1" s="304"/>
      <c r="X1" s="297" t="s">
        <v>426</v>
      </c>
      <c r="Y1" s="298"/>
      <c r="Z1" s="298"/>
      <c r="AA1" s="298"/>
      <c r="AB1" s="298"/>
      <c r="AC1" s="298"/>
      <c r="AD1" s="298"/>
      <c r="AE1" s="298"/>
      <c r="AF1" s="298"/>
      <c r="AG1" s="299"/>
    </row>
    <row r="2" spans="2:33">
      <c r="B2" s="172"/>
      <c r="H2" s="173"/>
      <c r="I2" s="172"/>
      <c r="O2" s="173"/>
      <c r="P2" s="172"/>
      <c r="V2" s="173"/>
      <c r="X2" s="306" t="s">
        <v>330</v>
      </c>
      <c r="Y2" s="305" t="s">
        <v>448</v>
      </c>
      <c r="Z2" s="305"/>
      <c r="AA2" s="305"/>
      <c r="AB2" s="305" t="s">
        <v>449</v>
      </c>
      <c r="AC2" s="305"/>
      <c r="AD2" s="305"/>
      <c r="AE2" s="300" t="s">
        <v>264</v>
      </c>
      <c r="AF2" s="300" t="s">
        <v>265</v>
      </c>
      <c r="AG2" s="301" t="s">
        <v>266</v>
      </c>
    </row>
    <row r="3" spans="2:33">
      <c r="B3" s="172"/>
      <c r="H3" s="173"/>
      <c r="I3" s="172"/>
      <c r="O3" s="173"/>
      <c r="P3" s="172"/>
      <c r="V3" s="173"/>
      <c r="X3" s="306"/>
      <c r="Y3" s="181" t="s">
        <v>408</v>
      </c>
      <c r="Z3" s="181" t="s">
        <v>409</v>
      </c>
      <c r="AA3" s="181" t="s">
        <v>410</v>
      </c>
      <c r="AB3" s="181" t="s">
        <v>408</v>
      </c>
      <c r="AC3" s="181" t="s">
        <v>409</v>
      </c>
      <c r="AD3" s="181" t="s">
        <v>410</v>
      </c>
      <c r="AE3" s="300"/>
      <c r="AF3" s="300"/>
      <c r="AG3" s="301"/>
    </row>
    <row r="4" spans="2:33">
      <c r="B4" s="172"/>
      <c r="H4" s="173"/>
      <c r="I4" s="172"/>
      <c r="O4" s="173"/>
      <c r="P4" s="172"/>
      <c r="V4" s="173"/>
      <c r="X4" s="244">
        <v>1</v>
      </c>
      <c r="Y4" s="114">
        <v>-1.84</v>
      </c>
      <c r="Z4" s="114">
        <v>1.84</v>
      </c>
      <c r="AA4" s="114">
        <v>1.84</v>
      </c>
      <c r="AB4" s="114">
        <v>1.2</v>
      </c>
      <c r="AC4" s="114">
        <v>2.4</v>
      </c>
      <c r="AD4" s="114">
        <v>0</v>
      </c>
      <c r="AE4" s="201">
        <f>((Y4-Z4)^2+(AB4-AC4)^2)^0.5</f>
        <v>3.8707105290889423</v>
      </c>
      <c r="AF4" s="201">
        <f>((Z4-AA4)^2+(AC4-AD4)^2)^0.5</f>
        <v>2.4</v>
      </c>
      <c r="AG4" s="202">
        <f>((AA4-Y4)^2+(AD4-AB4)^2)^0.5</f>
        <v>3.8707105290889423</v>
      </c>
    </row>
    <row r="5" spans="2:33">
      <c r="B5" s="172"/>
      <c r="H5" s="173"/>
      <c r="I5" s="172"/>
      <c r="O5" s="173"/>
      <c r="P5" s="172"/>
      <c r="V5" s="173"/>
      <c r="X5" s="244">
        <v>2</v>
      </c>
      <c r="Y5" s="114">
        <v>-1.8</v>
      </c>
      <c r="Z5" s="114">
        <v>1.8</v>
      </c>
      <c r="AA5" s="114">
        <v>1.8</v>
      </c>
      <c r="AB5" s="114">
        <v>1.2</v>
      </c>
      <c r="AC5" s="114">
        <v>2.4</v>
      </c>
      <c r="AD5" s="114">
        <v>0</v>
      </c>
      <c r="AE5" s="201">
        <f t="shared" ref="AE5:AE15" si="0">((Y5-Z5)^2+(AB5-AC5)^2)^0.5</f>
        <v>3.7947331922020551</v>
      </c>
      <c r="AF5" s="201">
        <f t="shared" ref="AF5:AF15" si="1">((Z5-AA5)^2+(AC5-AD5)^2)^0.5</f>
        <v>2.4</v>
      </c>
      <c r="AG5" s="202">
        <f t="shared" ref="AG5:AG15" si="2">((AA5-Y5)^2+(AD5-AB5)^2)^0.5</f>
        <v>3.7947331922020551</v>
      </c>
    </row>
    <row r="6" spans="2:33">
      <c r="B6" s="172"/>
      <c r="H6" s="173"/>
      <c r="I6" s="172"/>
      <c r="O6" s="173"/>
      <c r="P6" s="172"/>
      <c r="V6" s="173"/>
      <c r="X6" s="244">
        <v>3</v>
      </c>
      <c r="Y6" s="114">
        <v>-1.6</v>
      </c>
      <c r="Z6" s="114">
        <v>1.6</v>
      </c>
      <c r="AA6" s="114">
        <v>1.6</v>
      </c>
      <c r="AB6" s="114">
        <v>0.85</v>
      </c>
      <c r="AC6" s="114">
        <v>1.7</v>
      </c>
      <c r="AD6" s="114">
        <v>0</v>
      </c>
      <c r="AE6" s="201">
        <f t="shared" si="0"/>
        <v>3.310966626228661</v>
      </c>
      <c r="AF6" s="201">
        <f t="shared" si="1"/>
        <v>1.7</v>
      </c>
      <c r="AG6" s="202">
        <f t="shared" si="2"/>
        <v>3.310966626228661</v>
      </c>
    </row>
    <row r="7" spans="2:33">
      <c r="B7" s="172"/>
      <c r="H7" s="173"/>
      <c r="I7" s="172"/>
      <c r="O7" s="173"/>
      <c r="P7" s="172"/>
      <c r="V7" s="173"/>
      <c r="X7" s="244">
        <v>4</v>
      </c>
      <c r="Y7" s="114">
        <v>-3.2</v>
      </c>
      <c r="Z7" s="114">
        <v>0</v>
      </c>
      <c r="AA7" s="114">
        <v>3.2</v>
      </c>
      <c r="AB7" s="114">
        <v>0</v>
      </c>
      <c r="AC7" s="114">
        <v>0</v>
      </c>
      <c r="AD7" s="114">
        <v>0</v>
      </c>
      <c r="AE7" s="201">
        <f t="shared" si="0"/>
        <v>3.2</v>
      </c>
      <c r="AF7" s="201">
        <f t="shared" si="1"/>
        <v>3.2</v>
      </c>
      <c r="AG7" s="202">
        <f t="shared" si="2"/>
        <v>6.4</v>
      </c>
    </row>
    <row r="8" spans="2:33">
      <c r="B8" s="172"/>
      <c r="H8" s="173"/>
      <c r="I8" s="172"/>
      <c r="O8" s="173"/>
      <c r="P8" s="172"/>
      <c r="V8" s="173"/>
      <c r="X8" s="244">
        <v>5</v>
      </c>
      <c r="Y8" s="114">
        <v>-3.2</v>
      </c>
      <c r="Z8" s="114">
        <v>0</v>
      </c>
      <c r="AA8" s="114">
        <v>3.2</v>
      </c>
      <c r="AB8" s="114">
        <v>0</v>
      </c>
      <c r="AC8" s="114">
        <v>0</v>
      </c>
      <c r="AD8" s="114">
        <v>0</v>
      </c>
      <c r="AE8" s="201">
        <f t="shared" si="0"/>
        <v>3.2</v>
      </c>
      <c r="AF8" s="201">
        <f t="shared" si="1"/>
        <v>3.2</v>
      </c>
      <c r="AG8" s="202">
        <f t="shared" si="2"/>
        <v>6.4</v>
      </c>
    </row>
    <row r="9" spans="2:33">
      <c r="B9" s="172"/>
      <c r="H9" s="173"/>
      <c r="I9" s="172"/>
      <c r="O9" s="173"/>
      <c r="P9" s="172"/>
      <c r="V9" s="173"/>
      <c r="X9" s="244">
        <v>6</v>
      </c>
      <c r="Y9" s="114">
        <v>-3.2</v>
      </c>
      <c r="Z9" s="114">
        <v>0</v>
      </c>
      <c r="AA9" s="114">
        <v>3.2</v>
      </c>
      <c r="AB9" s="114">
        <v>0</v>
      </c>
      <c r="AC9" s="114">
        <v>0</v>
      </c>
      <c r="AD9" s="114">
        <v>0</v>
      </c>
      <c r="AE9" s="201">
        <f t="shared" si="0"/>
        <v>3.2</v>
      </c>
      <c r="AF9" s="201">
        <f t="shared" si="1"/>
        <v>3.2</v>
      </c>
      <c r="AG9" s="202">
        <f t="shared" si="2"/>
        <v>6.4</v>
      </c>
    </row>
    <row r="10" spans="2:33">
      <c r="B10" s="172"/>
      <c r="H10" s="173"/>
      <c r="I10" s="172"/>
      <c r="O10" s="173"/>
      <c r="P10" s="172"/>
      <c r="V10" s="173"/>
      <c r="X10" s="244">
        <v>7</v>
      </c>
      <c r="Y10" s="114">
        <v>-1.65</v>
      </c>
      <c r="Z10" s="114">
        <v>0</v>
      </c>
      <c r="AA10" s="114">
        <v>1.65</v>
      </c>
      <c r="AB10" s="114">
        <v>0</v>
      </c>
      <c r="AC10" s="114">
        <v>1.35</v>
      </c>
      <c r="AD10" s="114">
        <v>0</v>
      </c>
      <c r="AE10" s="201">
        <f t="shared" si="0"/>
        <v>2.1319005605327841</v>
      </c>
      <c r="AF10" s="201">
        <f t="shared" si="1"/>
        <v>2.1319005605327841</v>
      </c>
      <c r="AG10" s="202">
        <f t="shared" si="2"/>
        <v>3.3</v>
      </c>
    </row>
    <row r="11" spans="2:33">
      <c r="B11" s="172"/>
      <c r="H11" s="173"/>
      <c r="I11" s="172"/>
      <c r="O11" s="173"/>
      <c r="P11" s="172"/>
      <c r="V11" s="173"/>
      <c r="X11" s="244">
        <v>8</v>
      </c>
      <c r="Y11" s="114">
        <v>0</v>
      </c>
      <c r="Z11" s="114">
        <v>0</v>
      </c>
      <c r="AA11" s="114">
        <v>0</v>
      </c>
      <c r="AB11" s="114">
        <v>2.4</v>
      </c>
      <c r="AC11" s="114">
        <v>1.2</v>
      </c>
      <c r="AD11" s="114">
        <v>0</v>
      </c>
      <c r="AE11" s="201">
        <f t="shared" si="0"/>
        <v>1.2</v>
      </c>
      <c r="AF11" s="201">
        <f t="shared" si="1"/>
        <v>1.2</v>
      </c>
      <c r="AG11" s="202">
        <f t="shared" si="2"/>
        <v>2.4</v>
      </c>
    </row>
    <row r="12" spans="2:33">
      <c r="B12" s="172"/>
      <c r="H12" s="173"/>
      <c r="I12" s="172"/>
      <c r="O12" s="173"/>
      <c r="P12" s="172"/>
      <c r="V12" s="173"/>
      <c r="X12" s="244">
        <v>9</v>
      </c>
      <c r="Y12" s="114">
        <v>0</v>
      </c>
      <c r="Z12" s="114">
        <v>0</v>
      </c>
      <c r="AA12" s="114">
        <v>0</v>
      </c>
      <c r="AB12" s="114">
        <v>3.4</v>
      </c>
      <c r="AC12" s="114">
        <v>1.7</v>
      </c>
      <c r="AD12" s="114">
        <v>0</v>
      </c>
      <c r="AE12" s="201">
        <f t="shared" si="0"/>
        <v>1.7</v>
      </c>
      <c r="AF12" s="201">
        <f t="shared" si="1"/>
        <v>1.7</v>
      </c>
      <c r="AG12" s="202">
        <f t="shared" si="2"/>
        <v>3.4</v>
      </c>
    </row>
    <row r="13" spans="2:33">
      <c r="B13" s="172"/>
      <c r="H13" s="173"/>
      <c r="I13" s="172"/>
      <c r="O13" s="173"/>
      <c r="P13" s="172"/>
      <c r="V13" s="173"/>
      <c r="X13" s="244">
        <v>10</v>
      </c>
      <c r="Y13" s="114">
        <v>-2.9</v>
      </c>
      <c r="Z13" s="114">
        <v>2.9</v>
      </c>
      <c r="AA13" s="114">
        <v>2.9</v>
      </c>
      <c r="AB13" s="114">
        <v>1.86</v>
      </c>
      <c r="AC13" s="114">
        <f>AB13*2</f>
        <v>3.72</v>
      </c>
      <c r="AD13" s="114">
        <v>0</v>
      </c>
      <c r="AE13" s="201">
        <f t="shared" si="0"/>
        <v>6.0909440975927538</v>
      </c>
      <c r="AF13" s="201">
        <f t="shared" si="1"/>
        <v>3.72</v>
      </c>
      <c r="AG13" s="202">
        <f t="shared" si="2"/>
        <v>6.0909440975927538</v>
      </c>
    </row>
    <row r="14" spans="2:33">
      <c r="B14" s="172"/>
      <c r="H14" s="173"/>
      <c r="I14" s="172"/>
      <c r="O14" s="173"/>
      <c r="P14" s="172"/>
      <c r="V14" s="173"/>
      <c r="X14" s="244">
        <v>11</v>
      </c>
      <c r="Y14" s="114">
        <v>-0.9</v>
      </c>
      <c r="Z14" s="114">
        <v>0</v>
      </c>
      <c r="AA14" s="114">
        <v>0.9</v>
      </c>
      <c r="AB14" s="114">
        <v>0</v>
      </c>
      <c r="AC14" s="114">
        <v>0.6</v>
      </c>
      <c r="AD14" s="114">
        <v>0</v>
      </c>
      <c r="AE14" s="201">
        <f t="shared" si="0"/>
        <v>1.0816653826391966</v>
      </c>
      <c r="AF14" s="201">
        <f t="shared" si="1"/>
        <v>1.0816653826391966</v>
      </c>
      <c r="AG14" s="202">
        <f t="shared" si="2"/>
        <v>1.8</v>
      </c>
    </row>
    <row r="15" spans="2:33">
      <c r="B15" s="172"/>
      <c r="H15" s="173"/>
      <c r="I15" s="172"/>
      <c r="O15" s="173"/>
      <c r="P15" s="172"/>
      <c r="V15" s="173"/>
      <c r="X15" s="244">
        <v>12</v>
      </c>
      <c r="Y15" s="114">
        <v>-0.9</v>
      </c>
      <c r="Z15" s="114">
        <v>0.3</v>
      </c>
      <c r="AA15" s="114">
        <v>0.6</v>
      </c>
      <c r="AB15" s="114">
        <v>0</v>
      </c>
      <c r="AC15" s="114">
        <v>0</v>
      </c>
      <c r="AD15" s="114">
        <v>0</v>
      </c>
      <c r="AE15" s="201">
        <f t="shared" si="0"/>
        <v>1.2</v>
      </c>
      <c r="AF15" s="201">
        <f t="shared" si="1"/>
        <v>0.3</v>
      </c>
      <c r="AG15" s="202">
        <f t="shared" si="2"/>
        <v>1.5</v>
      </c>
    </row>
    <row r="16" spans="2:33">
      <c r="B16" s="172"/>
      <c r="H16" s="173"/>
      <c r="I16" s="172"/>
      <c r="O16" s="173"/>
      <c r="P16" s="172"/>
      <c r="V16" s="173"/>
      <c r="X16" s="244">
        <v>13</v>
      </c>
      <c r="Y16" s="242"/>
      <c r="Z16" s="242"/>
      <c r="AA16" s="242"/>
      <c r="AB16" s="242"/>
      <c r="AC16" s="242"/>
      <c r="AD16" s="242"/>
      <c r="AE16" s="201">
        <f t="shared" ref="AE16:AE18" si="3">((Y16-Z16)^2+(AB16-AC16)^2)^0.5</f>
        <v>0</v>
      </c>
      <c r="AF16" s="201">
        <f t="shared" ref="AF16:AF18" si="4">((Z16-AA16)^2+(AC16-AD16)^2)^0.5</f>
        <v>0</v>
      </c>
      <c r="AG16" s="202">
        <f t="shared" ref="AG16:AG18" si="5">((AA16-Y16)^2+(AD16-AB16)^2)^0.5</f>
        <v>0</v>
      </c>
    </row>
    <row r="17" spans="2:33">
      <c r="B17" s="172"/>
      <c r="H17" s="173"/>
      <c r="I17" s="172"/>
      <c r="O17" s="173"/>
      <c r="P17" s="172"/>
      <c r="V17" s="173"/>
      <c r="X17" s="244">
        <v>14</v>
      </c>
      <c r="Y17" s="242"/>
      <c r="Z17" s="242"/>
      <c r="AA17" s="242"/>
      <c r="AB17" s="242"/>
      <c r="AC17" s="242"/>
      <c r="AD17" s="242"/>
      <c r="AE17" s="201">
        <f t="shared" si="3"/>
        <v>0</v>
      </c>
      <c r="AF17" s="201">
        <f t="shared" si="4"/>
        <v>0</v>
      </c>
      <c r="AG17" s="202">
        <f t="shared" si="5"/>
        <v>0</v>
      </c>
    </row>
    <row r="18" spans="2:33" ht="15.75" thickBot="1">
      <c r="B18" s="172"/>
      <c r="H18" s="173"/>
      <c r="I18" s="172"/>
      <c r="O18" s="173"/>
      <c r="P18" s="172"/>
      <c r="V18" s="173"/>
      <c r="X18" s="245">
        <v>15</v>
      </c>
      <c r="Y18" s="243"/>
      <c r="Z18" s="243"/>
      <c r="AA18" s="243"/>
      <c r="AB18" s="243"/>
      <c r="AC18" s="243"/>
      <c r="AD18" s="243"/>
      <c r="AE18" s="201">
        <f t="shared" si="3"/>
        <v>0</v>
      </c>
      <c r="AF18" s="201">
        <f t="shared" si="4"/>
        <v>0</v>
      </c>
      <c r="AG18" s="202">
        <f t="shared" si="5"/>
        <v>0</v>
      </c>
    </row>
    <row r="19" spans="2:33">
      <c r="B19" s="172"/>
      <c r="H19" s="173"/>
      <c r="I19" s="172"/>
      <c r="O19" s="173"/>
      <c r="P19" s="172"/>
      <c r="V19" s="173"/>
    </row>
    <row r="20" spans="2:33">
      <c r="B20" s="172"/>
      <c r="H20" s="173"/>
      <c r="I20" s="172"/>
      <c r="M20" t="s">
        <v>158</v>
      </c>
      <c r="O20" s="173"/>
      <c r="P20" s="172"/>
      <c r="R20" t="s">
        <v>257</v>
      </c>
      <c r="V20" s="173"/>
    </row>
    <row r="21" spans="2:33">
      <c r="B21" s="172"/>
      <c r="D21" s="2" t="s">
        <v>412</v>
      </c>
      <c r="H21" s="173"/>
      <c r="I21" s="172"/>
      <c r="K21" s="2"/>
      <c r="O21" s="173"/>
      <c r="P21" s="172"/>
      <c r="R21" s="2"/>
      <c r="V21" s="173"/>
    </row>
    <row r="22" spans="2:33">
      <c r="B22" s="172"/>
      <c r="D22" s="2"/>
      <c r="H22" s="173"/>
      <c r="I22" s="172"/>
      <c r="K22" s="2"/>
      <c r="O22" s="173"/>
      <c r="P22" s="172"/>
      <c r="R22" s="2"/>
      <c r="V22" s="173"/>
    </row>
    <row r="23" spans="2:33" ht="15.75" thickBot="1">
      <c r="B23" s="177"/>
      <c r="C23" s="178"/>
      <c r="D23" s="200"/>
      <c r="E23" s="178"/>
      <c r="F23" s="178"/>
      <c r="G23" s="178"/>
      <c r="H23" s="179"/>
      <c r="I23" s="177"/>
      <c r="J23" s="178"/>
      <c r="K23" s="200"/>
      <c r="L23" s="178"/>
      <c r="M23" s="178"/>
      <c r="N23" s="178"/>
      <c r="O23" s="179"/>
      <c r="P23" s="177"/>
      <c r="Q23" s="178"/>
      <c r="R23" s="200"/>
      <c r="S23" s="178"/>
      <c r="T23" s="178"/>
      <c r="U23" s="178"/>
      <c r="V23" s="179"/>
    </row>
    <row r="24" spans="2:33" ht="16.5" thickTop="1">
      <c r="B24" s="302" t="s">
        <v>399</v>
      </c>
      <c r="C24" s="303"/>
      <c r="D24" s="303"/>
      <c r="E24" s="303"/>
      <c r="F24" s="303"/>
      <c r="G24" s="303"/>
      <c r="H24" s="304"/>
      <c r="I24" s="302" t="s">
        <v>400</v>
      </c>
      <c r="J24" s="303"/>
      <c r="K24" s="303"/>
      <c r="L24" s="303"/>
      <c r="M24" s="303"/>
      <c r="N24" s="303"/>
      <c r="O24" s="304"/>
      <c r="P24" s="302" t="s">
        <v>401</v>
      </c>
      <c r="Q24" s="303"/>
      <c r="R24" s="303"/>
      <c r="S24" s="303"/>
      <c r="T24" s="303"/>
      <c r="U24" s="303"/>
      <c r="V24" s="304"/>
    </row>
    <row r="25" spans="2:33">
      <c r="B25" s="172"/>
      <c r="H25" s="173"/>
      <c r="I25" s="172"/>
      <c r="O25" s="173"/>
      <c r="P25" s="172"/>
      <c r="V25" s="173"/>
    </row>
    <row r="26" spans="2:33">
      <c r="B26" s="172"/>
      <c r="H26" s="173"/>
      <c r="I26" s="172"/>
      <c r="O26" s="173"/>
      <c r="P26" s="172"/>
      <c r="V26" s="173"/>
    </row>
    <row r="27" spans="2:33">
      <c r="B27" s="172"/>
      <c r="H27" s="173"/>
      <c r="I27" s="172"/>
      <c r="O27" s="173"/>
      <c r="P27" s="172"/>
      <c r="V27" s="173"/>
    </row>
    <row r="28" spans="2:33">
      <c r="B28" s="172"/>
      <c r="H28" s="173"/>
      <c r="I28" s="172"/>
      <c r="O28" s="173"/>
      <c r="P28" s="172"/>
      <c r="V28" s="173"/>
    </row>
    <row r="29" spans="2:33">
      <c r="B29" s="172"/>
      <c r="H29" s="173"/>
      <c r="I29" s="172"/>
      <c r="O29" s="173"/>
      <c r="P29" s="172"/>
      <c r="V29" s="173"/>
    </row>
    <row r="30" spans="2:33">
      <c r="B30" s="172"/>
      <c r="H30" s="173"/>
      <c r="I30" s="172"/>
      <c r="O30" s="173"/>
      <c r="P30" s="172"/>
      <c r="V30" s="173"/>
    </row>
    <row r="31" spans="2:33">
      <c r="B31" s="172"/>
      <c r="H31" s="173"/>
      <c r="I31" s="172"/>
      <c r="O31" s="173"/>
      <c r="P31" s="172"/>
      <c r="V31" s="173"/>
    </row>
    <row r="32" spans="2:33">
      <c r="B32" s="172"/>
      <c r="H32" s="173"/>
      <c r="I32" s="172"/>
      <c r="O32" s="173"/>
      <c r="P32" s="172"/>
      <c r="V32" s="173"/>
    </row>
    <row r="33" spans="2:22">
      <c r="B33" s="172"/>
      <c r="H33" s="173"/>
      <c r="I33" s="172"/>
      <c r="O33" s="173"/>
      <c r="P33" s="172"/>
      <c r="V33" s="173"/>
    </row>
    <row r="34" spans="2:22">
      <c r="B34" s="172"/>
      <c r="H34" s="173"/>
      <c r="I34" s="172"/>
      <c r="O34" s="173"/>
      <c r="P34" s="172"/>
      <c r="V34" s="173"/>
    </row>
    <row r="35" spans="2:22">
      <c r="B35" s="172"/>
      <c r="H35" s="173"/>
      <c r="I35" s="172"/>
      <c r="O35" s="173"/>
      <c r="P35" s="172"/>
      <c r="V35" s="173"/>
    </row>
    <row r="36" spans="2:22">
      <c r="B36" s="172"/>
      <c r="H36" s="173"/>
      <c r="I36" s="172"/>
      <c r="O36" s="173"/>
      <c r="P36" s="172"/>
      <c r="V36" s="173"/>
    </row>
    <row r="37" spans="2:22">
      <c r="B37" s="172"/>
      <c r="H37" s="173"/>
      <c r="I37" s="172"/>
      <c r="O37" s="173"/>
      <c r="P37" s="172"/>
      <c r="V37" s="173"/>
    </row>
    <row r="38" spans="2:22">
      <c r="B38" s="172"/>
      <c r="H38" s="173"/>
      <c r="I38" s="172"/>
      <c r="O38" s="173"/>
      <c r="P38" s="172"/>
      <c r="V38" s="173"/>
    </row>
    <row r="39" spans="2:22" ht="15.75" thickBot="1">
      <c r="B39" s="177"/>
      <c r="C39" s="178"/>
      <c r="D39" s="178"/>
      <c r="E39" s="178"/>
      <c r="F39" s="178"/>
      <c r="G39" s="178"/>
      <c r="H39" s="179"/>
      <c r="I39" s="177"/>
      <c r="J39" s="178"/>
      <c r="K39" s="178"/>
      <c r="L39" s="178"/>
      <c r="M39" s="178"/>
      <c r="N39" s="178"/>
      <c r="O39" s="179"/>
      <c r="P39" s="177"/>
      <c r="Q39" s="178"/>
      <c r="R39" s="178"/>
      <c r="S39" s="178"/>
      <c r="T39" s="178"/>
      <c r="U39" s="178"/>
      <c r="V39" s="179"/>
    </row>
    <row r="40" spans="2:22" ht="16.5" thickTop="1">
      <c r="B40" s="302" t="s">
        <v>402</v>
      </c>
      <c r="C40" s="303"/>
      <c r="D40" s="303"/>
      <c r="E40" s="303"/>
      <c r="F40" s="303"/>
      <c r="G40" s="303"/>
      <c r="H40" s="304"/>
      <c r="I40" s="302" t="s">
        <v>403</v>
      </c>
      <c r="J40" s="303"/>
      <c r="K40" s="303"/>
      <c r="L40" s="303"/>
      <c r="M40" s="303"/>
      <c r="N40" s="303"/>
      <c r="O40" s="304"/>
      <c r="P40" s="302" t="s">
        <v>404</v>
      </c>
      <c r="Q40" s="303"/>
      <c r="R40" s="303"/>
      <c r="S40" s="303"/>
      <c r="T40" s="303"/>
      <c r="U40" s="303"/>
      <c r="V40" s="304"/>
    </row>
    <row r="41" spans="2:22">
      <c r="B41" s="172"/>
      <c r="H41" s="173"/>
      <c r="I41" s="172"/>
      <c r="O41" s="173"/>
      <c r="P41" s="172"/>
      <c r="V41" s="173"/>
    </row>
    <row r="42" spans="2:22">
      <c r="B42" s="172"/>
      <c r="H42" s="173"/>
      <c r="I42" s="172"/>
      <c r="O42" s="173"/>
      <c r="P42" s="172"/>
      <c r="V42" s="173"/>
    </row>
    <row r="43" spans="2:22">
      <c r="B43" s="172"/>
      <c r="H43" s="173"/>
      <c r="I43" s="172"/>
      <c r="O43" s="173"/>
      <c r="P43" s="172"/>
      <c r="V43" s="173"/>
    </row>
    <row r="44" spans="2:22">
      <c r="B44" s="172"/>
      <c r="H44" s="173"/>
      <c r="I44" s="172"/>
      <c r="O44" s="173"/>
      <c r="P44" s="172"/>
      <c r="V44" s="173"/>
    </row>
    <row r="45" spans="2:22">
      <c r="B45" s="172"/>
      <c r="H45" s="173"/>
      <c r="I45" s="172"/>
      <c r="O45" s="173"/>
      <c r="P45" s="172"/>
      <c r="V45" s="173"/>
    </row>
    <row r="46" spans="2:22">
      <c r="B46" s="172"/>
      <c r="H46" s="173"/>
      <c r="I46" s="172"/>
      <c r="O46" s="173"/>
      <c r="P46" s="172"/>
      <c r="V46" s="173"/>
    </row>
    <row r="47" spans="2:22">
      <c r="B47" s="172"/>
      <c r="H47" s="173"/>
      <c r="I47" s="172"/>
      <c r="O47" s="173"/>
      <c r="P47" s="172"/>
      <c r="V47" s="173"/>
    </row>
    <row r="48" spans="2:22">
      <c r="B48" s="172"/>
      <c r="H48" s="173"/>
      <c r="I48" s="172"/>
      <c r="O48" s="173"/>
      <c r="P48" s="172"/>
      <c r="V48" s="173"/>
    </row>
    <row r="49" spans="2:22">
      <c r="B49" s="172"/>
      <c r="H49" s="173"/>
      <c r="I49" s="172"/>
      <c r="O49" s="173"/>
      <c r="P49" s="172"/>
      <c r="V49" s="173"/>
    </row>
    <row r="50" spans="2:22">
      <c r="B50" s="172"/>
      <c r="H50" s="173"/>
      <c r="I50" s="172"/>
      <c r="O50" s="173"/>
      <c r="P50" s="172"/>
      <c r="V50" s="173"/>
    </row>
    <row r="51" spans="2:22">
      <c r="B51" s="172"/>
      <c r="H51" s="173"/>
      <c r="I51" s="172"/>
      <c r="O51" s="173"/>
      <c r="P51" s="172"/>
      <c r="V51" s="173"/>
    </row>
    <row r="52" spans="2:22">
      <c r="B52" s="172"/>
      <c r="H52" s="173"/>
      <c r="I52" s="172"/>
      <c r="O52" s="173"/>
      <c r="P52" s="172"/>
      <c r="V52" s="173"/>
    </row>
    <row r="53" spans="2:22">
      <c r="B53" s="172"/>
      <c r="H53" s="173"/>
      <c r="I53" s="172"/>
      <c r="O53" s="173"/>
      <c r="P53" s="172"/>
      <c r="V53" s="173"/>
    </row>
    <row r="54" spans="2:22">
      <c r="B54" s="172"/>
      <c r="H54" s="173"/>
      <c r="I54" s="172"/>
      <c r="O54" s="173"/>
      <c r="P54" s="172"/>
      <c r="V54" s="173"/>
    </row>
    <row r="55" spans="2:22">
      <c r="B55" s="172"/>
      <c r="H55" s="173"/>
      <c r="I55" s="172"/>
      <c r="O55" s="173"/>
      <c r="P55" s="172"/>
      <c r="V55" s="173"/>
    </row>
    <row r="56" spans="2:22">
      <c r="B56" s="172"/>
      <c r="H56" s="173"/>
      <c r="I56" s="172"/>
      <c r="O56" s="173"/>
      <c r="P56" s="172"/>
      <c r="V56" s="173"/>
    </row>
    <row r="57" spans="2:22">
      <c r="B57" s="172"/>
      <c r="H57" s="173"/>
      <c r="I57" s="172"/>
      <c r="O57" s="173"/>
      <c r="P57" s="172"/>
      <c r="V57" s="173"/>
    </row>
    <row r="58" spans="2:22">
      <c r="B58" s="172"/>
      <c r="H58" s="173"/>
      <c r="I58" s="172"/>
      <c r="O58" s="173"/>
      <c r="P58" s="172"/>
      <c r="V58" s="173"/>
    </row>
    <row r="59" spans="2:22">
      <c r="B59" s="172"/>
      <c r="H59" s="173"/>
      <c r="I59" s="172"/>
      <c r="O59" s="173"/>
      <c r="P59" s="172"/>
      <c r="V59" s="173"/>
    </row>
    <row r="60" spans="2:22">
      <c r="B60" s="172"/>
      <c r="H60" s="173"/>
      <c r="I60" s="172"/>
      <c r="O60" s="173"/>
      <c r="P60" s="172"/>
      <c r="V60" s="173"/>
    </row>
    <row r="61" spans="2:22">
      <c r="B61" s="172"/>
      <c r="H61" s="173"/>
      <c r="I61" s="172"/>
      <c r="O61" s="173"/>
      <c r="P61" s="172"/>
      <c r="V61" s="173"/>
    </row>
    <row r="62" spans="2:22">
      <c r="B62" s="172"/>
      <c r="H62" s="173"/>
      <c r="I62" s="172"/>
      <c r="O62" s="173"/>
      <c r="P62" s="172"/>
      <c r="V62" s="173"/>
    </row>
    <row r="63" spans="2:22" ht="15.75" thickBot="1">
      <c r="B63" s="177"/>
      <c r="C63" s="178"/>
      <c r="D63" s="178"/>
      <c r="E63" s="178"/>
      <c r="F63" s="178"/>
      <c r="G63" s="178"/>
      <c r="H63" s="179"/>
      <c r="I63" s="177"/>
      <c r="J63" s="178"/>
      <c r="K63" s="178"/>
      <c r="L63" s="178"/>
      <c r="M63" s="178"/>
      <c r="N63" s="178"/>
      <c r="O63" s="179"/>
      <c r="P63" s="177"/>
      <c r="Q63" s="178"/>
      <c r="R63" s="178"/>
      <c r="S63" s="178"/>
      <c r="T63" s="178"/>
      <c r="U63" s="178"/>
      <c r="V63" s="179"/>
    </row>
    <row r="64" spans="2:22" ht="16.5" thickTop="1">
      <c r="B64" s="302" t="s">
        <v>405</v>
      </c>
      <c r="C64" s="303"/>
      <c r="D64" s="303"/>
      <c r="E64" s="303"/>
      <c r="F64" s="303"/>
      <c r="G64" s="303"/>
      <c r="H64" s="304"/>
      <c r="I64" s="302" t="s">
        <v>406</v>
      </c>
      <c r="J64" s="303"/>
      <c r="K64" s="303"/>
      <c r="L64" s="303"/>
      <c r="M64" s="303"/>
      <c r="N64" s="303"/>
      <c r="O64" s="304"/>
      <c r="P64" s="302" t="s">
        <v>407</v>
      </c>
      <c r="Q64" s="303"/>
      <c r="R64" s="303"/>
      <c r="S64" s="303"/>
      <c r="T64" s="303"/>
      <c r="U64" s="303"/>
      <c r="V64" s="304"/>
    </row>
    <row r="65" spans="2:22">
      <c r="B65" s="172"/>
      <c r="H65" s="173"/>
      <c r="I65" s="172"/>
      <c r="O65" s="173"/>
      <c r="P65" s="172"/>
      <c r="V65" s="173"/>
    </row>
    <row r="66" spans="2:22">
      <c r="B66" s="172"/>
      <c r="H66" s="173"/>
      <c r="I66" s="172"/>
      <c r="O66" s="173"/>
      <c r="P66" s="172"/>
      <c r="V66" s="173"/>
    </row>
    <row r="67" spans="2:22">
      <c r="B67" s="172"/>
      <c r="H67" s="173"/>
      <c r="I67" s="172"/>
      <c r="O67" s="173"/>
      <c r="P67" s="172"/>
      <c r="V67" s="173"/>
    </row>
    <row r="68" spans="2:22">
      <c r="B68" s="172"/>
      <c r="H68" s="173"/>
      <c r="I68" s="172"/>
      <c r="O68" s="173"/>
      <c r="P68" s="172"/>
      <c r="V68" s="173"/>
    </row>
    <row r="69" spans="2:22">
      <c r="B69" s="172"/>
      <c r="H69" s="173"/>
      <c r="I69" s="172"/>
      <c r="O69" s="173"/>
      <c r="P69" s="172"/>
      <c r="V69" s="173"/>
    </row>
    <row r="70" spans="2:22">
      <c r="B70" s="172"/>
      <c r="H70" s="173"/>
      <c r="I70" s="172"/>
      <c r="O70" s="173"/>
      <c r="P70" s="172"/>
      <c r="V70" s="173"/>
    </row>
    <row r="71" spans="2:22">
      <c r="B71" s="172"/>
      <c r="H71" s="173"/>
      <c r="I71" s="172"/>
      <c r="O71" s="173"/>
      <c r="P71" s="172"/>
      <c r="V71" s="173"/>
    </row>
    <row r="72" spans="2:22">
      <c r="B72" s="172"/>
      <c r="H72" s="173"/>
      <c r="I72" s="172"/>
      <c r="O72" s="173"/>
      <c r="P72" s="172"/>
      <c r="V72" s="173"/>
    </row>
    <row r="73" spans="2:22">
      <c r="B73" s="172"/>
      <c r="H73" s="173"/>
      <c r="I73" s="172"/>
      <c r="O73" s="173"/>
      <c r="P73" s="172"/>
      <c r="V73" s="173"/>
    </row>
    <row r="74" spans="2:22">
      <c r="B74" s="172"/>
      <c r="H74" s="173"/>
      <c r="I74" s="172"/>
      <c r="O74" s="173"/>
      <c r="P74" s="172"/>
      <c r="V74" s="173"/>
    </row>
    <row r="75" spans="2:22">
      <c r="B75" s="172"/>
      <c r="H75" s="173"/>
      <c r="I75" s="172"/>
      <c r="O75" s="173"/>
      <c r="P75" s="172"/>
      <c r="V75" s="173"/>
    </row>
    <row r="76" spans="2:22">
      <c r="B76" s="172"/>
      <c r="H76" s="173"/>
      <c r="I76" s="172"/>
      <c r="O76" s="173"/>
      <c r="P76" s="172"/>
      <c r="V76" s="173"/>
    </row>
    <row r="77" spans="2:22">
      <c r="B77" s="172"/>
      <c r="H77" s="173"/>
      <c r="I77" s="172"/>
      <c r="O77" s="173"/>
      <c r="P77" s="172"/>
      <c r="V77" s="173"/>
    </row>
    <row r="78" spans="2:22">
      <c r="B78" s="172"/>
      <c r="H78" s="173"/>
      <c r="I78" s="172"/>
      <c r="O78" s="173"/>
      <c r="P78" s="172"/>
      <c r="V78" s="173"/>
    </row>
    <row r="79" spans="2:22">
      <c r="B79" s="172"/>
      <c r="H79" s="173"/>
      <c r="I79" s="172"/>
      <c r="O79" s="173"/>
      <c r="P79" s="172"/>
      <c r="V79" s="173"/>
    </row>
    <row r="80" spans="2:22">
      <c r="B80" s="172"/>
      <c r="H80" s="173"/>
      <c r="I80" s="172"/>
      <c r="L80" t="s">
        <v>411</v>
      </c>
      <c r="O80" s="173"/>
      <c r="P80" s="172"/>
      <c r="S80" t="s">
        <v>413</v>
      </c>
      <c r="V80" s="173"/>
    </row>
    <row r="81" spans="2:22">
      <c r="B81" s="172"/>
      <c r="G81" t="s">
        <v>433</v>
      </c>
      <c r="H81" s="173"/>
      <c r="I81" s="172"/>
      <c r="O81" s="173"/>
      <c r="P81" s="172"/>
      <c r="V81" s="173"/>
    </row>
    <row r="82" spans="2:22" ht="15.75" thickBot="1">
      <c r="B82" s="177"/>
      <c r="C82" s="178"/>
      <c r="D82" s="178"/>
      <c r="E82" s="178"/>
      <c r="F82" s="178"/>
      <c r="G82" s="178"/>
      <c r="H82" s="179"/>
      <c r="I82" s="177"/>
      <c r="J82" s="178"/>
      <c r="K82" s="178"/>
      <c r="L82" s="178"/>
      <c r="M82" s="178"/>
      <c r="N82" s="178"/>
      <c r="O82" s="179"/>
      <c r="P82" s="177"/>
      <c r="Q82" s="178"/>
      <c r="R82" s="178"/>
      <c r="S82" s="178"/>
      <c r="T82" s="178"/>
      <c r="U82" s="178"/>
      <c r="V82" s="179"/>
    </row>
    <row r="83" spans="2:22" ht="16.5" thickTop="1">
      <c r="B83" s="302" t="s">
        <v>430</v>
      </c>
      <c r="C83" s="303"/>
      <c r="D83" s="303"/>
      <c r="E83" s="303"/>
      <c r="F83" s="303"/>
      <c r="G83" s="303"/>
      <c r="H83" s="304"/>
      <c r="I83" s="302" t="s">
        <v>431</v>
      </c>
      <c r="J83" s="303"/>
      <c r="K83" s="303"/>
      <c r="L83" s="303"/>
      <c r="M83" s="303"/>
      <c r="N83" s="303"/>
      <c r="O83" s="304"/>
      <c r="P83" s="302" t="s">
        <v>432</v>
      </c>
      <c r="Q83" s="303"/>
      <c r="R83" s="303"/>
      <c r="S83" s="303"/>
      <c r="T83" s="303"/>
      <c r="U83" s="303"/>
      <c r="V83" s="304"/>
    </row>
    <row r="84" spans="2:22">
      <c r="B84" s="236"/>
      <c r="C84" s="237"/>
      <c r="D84" s="237"/>
      <c r="E84" s="237"/>
      <c r="F84" s="237"/>
      <c r="G84" s="237"/>
      <c r="H84" s="238"/>
      <c r="I84" s="236"/>
      <c r="J84" s="237"/>
      <c r="K84" s="237"/>
      <c r="L84" s="237"/>
      <c r="M84" s="237"/>
      <c r="N84" s="237"/>
      <c r="O84" s="238"/>
      <c r="P84" s="236"/>
      <c r="Q84" s="237"/>
      <c r="R84" s="237"/>
      <c r="S84" s="237"/>
      <c r="T84" s="237"/>
      <c r="U84" s="237"/>
      <c r="V84" s="238"/>
    </row>
    <row r="85" spans="2:22">
      <c r="B85" s="236"/>
      <c r="C85" s="237"/>
      <c r="D85" s="237"/>
      <c r="E85" s="237"/>
      <c r="F85" s="237"/>
      <c r="G85" s="237"/>
      <c r="H85" s="238"/>
      <c r="I85" s="236"/>
      <c r="J85" s="237"/>
      <c r="K85" s="237"/>
      <c r="L85" s="237"/>
      <c r="M85" s="237"/>
      <c r="N85" s="237"/>
      <c r="O85" s="238"/>
      <c r="P85" s="236"/>
      <c r="Q85" s="237"/>
      <c r="R85" s="237"/>
      <c r="S85" s="237"/>
      <c r="T85" s="237"/>
      <c r="U85" s="237"/>
      <c r="V85" s="238"/>
    </row>
    <row r="86" spans="2:22">
      <c r="B86" s="236"/>
      <c r="C86" s="237"/>
      <c r="D86" s="237"/>
      <c r="E86" s="237"/>
      <c r="F86" s="237"/>
      <c r="G86" s="237"/>
      <c r="H86" s="238"/>
      <c r="I86" s="236"/>
      <c r="J86" s="237"/>
      <c r="K86" s="237"/>
      <c r="L86" s="237"/>
      <c r="M86" s="237"/>
      <c r="N86" s="237"/>
      <c r="O86" s="238"/>
      <c r="P86" s="236"/>
      <c r="Q86" s="237"/>
      <c r="R86" s="237"/>
      <c r="S86" s="237"/>
      <c r="T86" s="237"/>
      <c r="U86" s="237"/>
      <c r="V86" s="238"/>
    </row>
    <row r="87" spans="2:22">
      <c r="B87" s="236"/>
      <c r="C87" s="237"/>
      <c r="D87" s="237"/>
      <c r="E87" s="237"/>
      <c r="F87" s="237"/>
      <c r="G87" s="237"/>
      <c r="H87" s="238"/>
      <c r="I87" s="236"/>
      <c r="J87" s="237"/>
      <c r="K87" s="237"/>
      <c r="L87" s="237"/>
      <c r="M87" s="237"/>
      <c r="N87" s="237"/>
      <c r="O87" s="238"/>
      <c r="P87" s="236"/>
      <c r="Q87" s="237"/>
      <c r="R87" s="237"/>
      <c r="S87" s="237"/>
      <c r="T87" s="237"/>
      <c r="U87" s="237"/>
      <c r="V87" s="238"/>
    </row>
    <row r="88" spans="2:22">
      <c r="B88" s="236"/>
      <c r="C88" s="237"/>
      <c r="D88" s="237"/>
      <c r="E88" s="237"/>
      <c r="F88" s="237"/>
      <c r="G88" s="237"/>
      <c r="H88" s="238"/>
      <c r="I88" s="236"/>
      <c r="J88" s="237"/>
      <c r="K88" s="237"/>
      <c r="L88" s="237"/>
      <c r="M88" s="237"/>
      <c r="N88" s="237"/>
      <c r="O88" s="238"/>
      <c r="P88" s="236"/>
      <c r="Q88" s="237"/>
      <c r="R88" s="237"/>
      <c r="S88" s="237"/>
      <c r="T88" s="237"/>
      <c r="U88" s="237"/>
      <c r="V88" s="238"/>
    </row>
    <row r="89" spans="2:22">
      <c r="B89" s="236"/>
      <c r="C89" s="237"/>
      <c r="D89" s="237"/>
      <c r="E89" s="237"/>
      <c r="F89" s="237"/>
      <c r="G89" s="237"/>
      <c r="H89" s="238"/>
      <c r="I89" s="236"/>
      <c r="J89" s="237"/>
      <c r="K89" s="237"/>
      <c r="L89" s="237"/>
      <c r="M89" s="237"/>
      <c r="N89" s="237"/>
      <c r="O89" s="238"/>
      <c r="P89" s="236"/>
      <c r="Q89" s="237"/>
      <c r="R89" s="237"/>
      <c r="S89" s="237"/>
      <c r="T89" s="237"/>
      <c r="U89" s="237"/>
      <c r="V89" s="238"/>
    </row>
    <row r="90" spans="2:22">
      <c r="B90" s="236"/>
      <c r="C90" s="237"/>
      <c r="D90" s="237"/>
      <c r="E90" s="237"/>
      <c r="F90" s="237"/>
      <c r="G90" s="237"/>
      <c r="H90" s="238"/>
      <c r="I90" s="236"/>
      <c r="J90" s="237"/>
      <c r="K90" s="237"/>
      <c r="L90" s="237"/>
      <c r="M90" s="237"/>
      <c r="N90" s="237"/>
      <c r="O90" s="238"/>
      <c r="P90" s="236"/>
      <c r="Q90" s="237"/>
      <c r="R90" s="237"/>
      <c r="S90" s="237"/>
      <c r="T90" s="237"/>
      <c r="U90" s="237"/>
      <c r="V90" s="238"/>
    </row>
    <row r="91" spans="2:22">
      <c r="B91" s="236"/>
      <c r="C91" s="237"/>
      <c r="D91" s="237"/>
      <c r="E91" s="237"/>
      <c r="F91" s="237"/>
      <c r="G91" s="237"/>
      <c r="H91" s="238"/>
      <c r="I91" s="236"/>
      <c r="J91" s="237"/>
      <c r="K91" s="237"/>
      <c r="L91" s="237"/>
      <c r="M91" s="237"/>
      <c r="N91" s="237"/>
      <c r="O91" s="238"/>
      <c r="P91" s="236"/>
      <c r="Q91" s="237"/>
      <c r="R91" s="237"/>
      <c r="S91" s="237"/>
      <c r="T91" s="237"/>
      <c r="U91" s="237"/>
      <c r="V91" s="238"/>
    </row>
    <row r="92" spans="2:22">
      <c r="B92" s="236"/>
      <c r="C92" s="237"/>
      <c r="D92" s="237"/>
      <c r="E92" s="237"/>
      <c r="F92" s="237"/>
      <c r="G92" s="237"/>
      <c r="H92" s="238"/>
      <c r="I92" s="236"/>
      <c r="J92" s="237"/>
      <c r="K92" s="237"/>
      <c r="L92" s="237"/>
      <c r="M92" s="237"/>
      <c r="N92" s="237"/>
      <c r="O92" s="238"/>
      <c r="P92" s="236"/>
      <c r="Q92" s="237"/>
      <c r="R92" s="237"/>
      <c r="S92" s="237"/>
      <c r="T92" s="237"/>
      <c r="U92" s="237"/>
      <c r="V92" s="238"/>
    </row>
    <row r="93" spans="2:22">
      <c r="B93" s="236"/>
      <c r="C93" s="237"/>
      <c r="D93" s="237"/>
      <c r="E93" s="237"/>
      <c r="F93" s="237"/>
      <c r="G93" s="237"/>
      <c r="H93" s="238"/>
      <c r="I93" s="236"/>
      <c r="J93" s="237"/>
      <c r="K93" s="237"/>
      <c r="L93" s="237"/>
      <c r="M93" s="237"/>
      <c r="N93" s="237"/>
      <c r="O93" s="238"/>
      <c r="P93" s="236"/>
      <c r="Q93" s="237"/>
      <c r="R93" s="237"/>
      <c r="S93" s="237"/>
      <c r="T93" s="237"/>
      <c r="U93" s="237"/>
      <c r="V93" s="238"/>
    </row>
    <row r="94" spans="2:22">
      <c r="B94" s="236"/>
      <c r="C94" s="237"/>
      <c r="D94" s="237"/>
      <c r="E94" s="237"/>
      <c r="F94" s="237"/>
      <c r="G94" s="237"/>
      <c r="H94" s="238"/>
      <c r="I94" s="236"/>
      <c r="J94" s="237"/>
      <c r="K94" s="237"/>
      <c r="L94" s="237"/>
      <c r="M94" s="237"/>
      <c r="N94" s="237"/>
      <c r="O94" s="238"/>
      <c r="P94" s="236"/>
      <c r="Q94" s="237"/>
      <c r="R94" s="237"/>
      <c r="S94" s="237"/>
      <c r="T94" s="237"/>
      <c r="U94" s="237"/>
      <c r="V94" s="238"/>
    </row>
    <row r="95" spans="2:22">
      <c r="B95" s="236"/>
      <c r="C95" s="237"/>
      <c r="D95" s="237"/>
      <c r="E95" s="237"/>
      <c r="F95" s="237"/>
      <c r="G95" s="237"/>
      <c r="H95" s="238"/>
      <c r="I95" s="236"/>
      <c r="J95" s="237"/>
      <c r="K95" s="237"/>
      <c r="L95" s="237"/>
      <c r="M95" s="237"/>
      <c r="N95" s="237"/>
      <c r="O95" s="238"/>
      <c r="P95" s="236"/>
      <c r="Q95" s="237"/>
      <c r="R95" s="237"/>
      <c r="S95" s="237"/>
      <c r="T95" s="237"/>
      <c r="U95" s="237"/>
      <c r="V95" s="238"/>
    </row>
    <row r="96" spans="2:22">
      <c r="B96" s="236"/>
      <c r="C96" s="237"/>
      <c r="D96" s="237"/>
      <c r="E96" s="237"/>
      <c r="F96" s="237"/>
      <c r="G96" s="237"/>
      <c r="H96" s="238"/>
      <c r="I96" s="236"/>
      <c r="J96" s="237"/>
      <c r="K96" s="237"/>
      <c r="L96" s="237"/>
      <c r="M96" s="237"/>
      <c r="N96" s="237"/>
      <c r="O96" s="238"/>
      <c r="P96" s="236"/>
      <c r="Q96" s="237"/>
      <c r="R96" s="237"/>
      <c r="S96" s="237"/>
      <c r="T96" s="237"/>
      <c r="U96" s="237"/>
      <c r="V96" s="238"/>
    </row>
    <row r="97" spans="2:22">
      <c r="B97" s="236"/>
      <c r="C97" s="237"/>
      <c r="D97" s="237"/>
      <c r="E97" s="237"/>
      <c r="F97" s="237"/>
      <c r="G97" s="237"/>
      <c r="H97" s="238"/>
      <c r="I97" s="236"/>
      <c r="J97" s="237"/>
      <c r="K97" s="237"/>
      <c r="L97" s="237"/>
      <c r="M97" s="237"/>
      <c r="N97" s="237"/>
      <c r="O97" s="238"/>
      <c r="P97" s="236"/>
      <c r="Q97" s="237"/>
      <c r="R97" s="237"/>
      <c r="S97" s="237"/>
      <c r="T97" s="237"/>
      <c r="U97" s="237"/>
      <c r="V97" s="238"/>
    </row>
    <row r="98" spans="2:22">
      <c r="B98" s="236"/>
      <c r="C98" s="237"/>
      <c r="D98" s="237"/>
      <c r="E98" s="237"/>
      <c r="F98" s="237"/>
      <c r="G98" s="237"/>
      <c r="H98" s="238"/>
      <c r="I98" s="236"/>
      <c r="J98" s="237"/>
      <c r="K98" s="237"/>
      <c r="L98" s="237"/>
      <c r="M98" s="237"/>
      <c r="N98" s="237"/>
      <c r="O98" s="238"/>
      <c r="P98" s="236"/>
      <c r="Q98" s="237"/>
      <c r="R98" s="237"/>
      <c r="S98" s="237"/>
      <c r="T98" s="237"/>
      <c r="U98" s="237"/>
      <c r="V98" s="238"/>
    </row>
    <row r="99" spans="2:22">
      <c r="B99" s="236"/>
      <c r="C99" s="237"/>
      <c r="D99" s="237"/>
      <c r="E99" s="237"/>
      <c r="F99" s="237"/>
      <c r="G99" s="237"/>
      <c r="H99" s="238"/>
      <c r="I99" s="236"/>
      <c r="J99" s="237"/>
      <c r="K99" s="237"/>
      <c r="L99" s="237"/>
      <c r="M99" s="237"/>
      <c r="N99" s="237"/>
      <c r="O99" s="238"/>
      <c r="P99" s="236"/>
      <c r="Q99" s="237"/>
      <c r="R99" s="237"/>
      <c r="S99" s="237"/>
      <c r="T99" s="237"/>
      <c r="U99" s="237"/>
      <c r="V99" s="238"/>
    </row>
    <row r="100" spans="2:22">
      <c r="B100" s="236"/>
      <c r="C100" s="237"/>
      <c r="D100" s="237"/>
      <c r="E100" s="237"/>
      <c r="F100" s="237"/>
      <c r="G100" s="237"/>
      <c r="H100" s="238"/>
      <c r="I100" s="236"/>
      <c r="J100" s="237"/>
      <c r="K100" s="237"/>
      <c r="L100" s="237"/>
      <c r="M100" s="237"/>
      <c r="N100" s="237"/>
      <c r="O100" s="238"/>
      <c r="P100" s="236"/>
      <c r="Q100" s="237"/>
      <c r="R100" s="237"/>
      <c r="S100" s="237"/>
      <c r="T100" s="237"/>
      <c r="U100" s="237"/>
      <c r="V100" s="238"/>
    </row>
    <row r="101" spans="2:22" ht="15.75" thickBot="1">
      <c r="B101" s="239"/>
      <c r="C101" s="240"/>
      <c r="D101" s="240"/>
      <c r="E101" s="240"/>
      <c r="F101" s="240"/>
      <c r="G101" s="240"/>
      <c r="H101" s="241"/>
      <c r="I101" s="239"/>
      <c r="J101" s="240"/>
      <c r="K101" s="240"/>
      <c r="L101" s="240"/>
      <c r="M101" s="240"/>
      <c r="N101" s="240"/>
      <c r="O101" s="241"/>
      <c r="P101" s="239"/>
      <c r="Q101" s="240"/>
      <c r="R101" s="240"/>
      <c r="S101" s="240"/>
      <c r="T101" s="240"/>
      <c r="U101" s="240"/>
      <c r="V101" s="241"/>
    </row>
    <row r="102" spans="2:22" ht="15.75" thickTop="1"/>
  </sheetData>
  <sheetProtection selectLockedCells="1"/>
  <mergeCells count="22">
    <mergeCell ref="B83:H83"/>
    <mergeCell ref="I83:O83"/>
    <mergeCell ref="P83:V83"/>
    <mergeCell ref="B1:H1"/>
    <mergeCell ref="I1:O1"/>
    <mergeCell ref="P1:V1"/>
    <mergeCell ref="X1:AG1"/>
    <mergeCell ref="AE2:AE3"/>
    <mergeCell ref="AF2:AF3"/>
    <mergeCell ref="AG2:AG3"/>
    <mergeCell ref="B64:H64"/>
    <mergeCell ref="I64:O64"/>
    <mergeCell ref="P64:V64"/>
    <mergeCell ref="Y2:AA2"/>
    <mergeCell ref="AB2:AD2"/>
    <mergeCell ref="X2:X3"/>
    <mergeCell ref="B24:H24"/>
    <mergeCell ref="I24:O24"/>
    <mergeCell ref="P24:V24"/>
    <mergeCell ref="B40:H40"/>
    <mergeCell ref="I40:O40"/>
    <mergeCell ref="P40:V40"/>
  </mergeCells>
  <phoneticPr fontId="48" type="noConversion"/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Visio.Drawing.15" shapeId="6146" r:id="rId3">
          <objectPr defaultSize="0" autoPict="0" r:id="rId4">
            <anchor moveWithCells="1">
              <from>
                <xdr:col>9</xdr:col>
                <xdr:colOff>228600</xdr:colOff>
                <xdr:row>64</xdr:row>
                <xdr:rowOff>171450</xdr:rowOff>
              </from>
              <to>
                <xdr:col>13</xdr:col>
                <xdr:colOff>381000</xdr:colOff>
                <xdr:row>78</xdr:row>
                <xdr:rowOff>57150</xdr:rowOff>
              </to>
            </anchor>
          </objectPr>
        </oleObject>
      </mc:Choice>
      <mc:Fallback>
        <oleObject progId="Visio.Drawing.15" shapeId="6146" r:id="rId3"/>
      </mc:Fallback>
    </mc:AlternateContent>
    <mc:AlternateContent xmlns:mc="http://schemas.openxmlformats.org/markup-compatibility/2006">
      <mc:Choice Requires="x14">
        <oleObject progId="Visio.Drawing.15" shapeId="6148" r:id="rId5">
          <objectPr defaultSize="0" r:id="rId6">
            <anchor moveWithCells="1">
              <from>
                <xdr:col>16</xdr:col>
                <xdr:colOff>190500</xdr:colOff>
                <xdr:row>67</xdr:row>
                <xdr:rowOff>104775</xdr:rowOff>
              </from>
              <to>
                <xdr:col>21</xdr:col>
                <xdr:colOff>57150</xdr:colOff>
                <xdr:row>77</xdr:row>
                <xdr:rowOff>76200</xdr:rowOff>
              </to>
            </anchor>
          </objectPr>
        </oleObject>
      </mc:Choice>
      <mc:Fallback>
        <oleObject progId="Visio.Drawing.15" shapeId="6148" r:id="rId5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32B11-763F-4560-B0A5-32B158F341D0}">
  <sheetPr codeName="Planilha6"/>
  <dimension ref="A2:C7"/>
  <sheetViews>
    <sheetView workbookViewId="0">
      <selection activeCell="G27" sqref="G27"/>
    </sheetView>
  </sheetViews>
  <sheetFormatPr defaultRowHeight="15"/>
  <sheetData>
    <row r="2" spans="1:3">
      <c r="A2" s="89" t="s">
        <v>435</v>
      </c>
      <c r="B2" s="89" t="s">
        <v>436</v>
      </c>
      <c r="C2" s="89" t="s">
        <v>437</v>
      </c>
    </row>
    <row r="3" spans="1:3">
      <c r="A3" s="89">
        <v>1.04</v>
      </c>
      <c r="B3" s="89">
        <v>4.5102114180818727E-2</v>
      </c>
      <c r="C3" s="89">
        <v>4.1084544082669018E-2</v>
      </c>
    </row>
    <row r="4" spans="1:3">
      <c r="A4" s="89">
        <v>1.17</v>
      </c>
      <c r="B4" s="89">
        <v>5.1025747230129891E-2</v>
      </c>
      <c r="C4" s="89">
        <v>4.5972186569589603E-2</v>
      </c>
    </row>
    <row r="5" spans="1:3">
      <c r="A5" s="89">
        <v>1.3</v>
      </c>
      <c r="B5" s="89">
        <v>5.7009413383363183E-2</v>
      </c>
      <c r="C5" s="89">
        <v>5.0811341021146601E-2</v>
      </c>
    </row>
    <row r="6" spans="1:3">
      <c r="A6" s="89">
        <v>1.56</v>
      </c>
      <c r="B6" s="89">
        <v>6.9152803090688025E-2</v>
      </c>
      <c r="C6" s="89">
        <v>6.0345979440972447E-2</v>
      </c>
    </row>
    <row r="7" spans="1:3">
      <c r="A7" s="89">
        <v>1.82</v>
      </c>
      <c r="B7" s="89">
        <v>8.1524330836865944E-2</v>
      </c>
      <c r="C7" s="89">
        <v>6.9692757017001311E-2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F25"/>
  <sheetViews>
    <sheetView workbookViewId="0">
      <selection activeCell="B14" sqref="B14"/>
    </sheetView>
  </sheetViews>
  <sheetFormatPr defaultRowHeight="15"/>
  <cols>
    <col min="1" max="1" width="10.85546875" bestFit="1" customWidth="1"/>
    <col min="2" max="2" width="42.5703125" bestFit="1" customWidth="1"/>
    <col min="8" max="8" width="34.5703125" bestFit="1" customWidth="1"/>
    <col min="10" max="10" width="35.5703125" bestFit="1" customWidth="1"/>
  </cols>
  <sheetData>
    <row r="1" spans="1:2">
      <c r="A1" s="182" t="s">
        <v>332</v>
      </c>
      <c r="B1" s="114">
        <f>Calc!A12</f>
        <v>100</v>
      </c>
    </row>
    <row r="2" spans="1:2">
      <c r="A2" s="494" t="s">
        <v>318</v>
      </c>
      <c r="B2" s="114" t="str">
        <f>Calc!A28</f>
        <v>361,701253112028-78,1614450442322i</v>
      </c>
    </row>
    <row r="3" spans="1:2">
      <c r="A3" s="494"/>
      <c r="B3" s="114">
        <f>IMABS(B2)</f>
        <v>370.05000742361005</v>
      </c>
    </row>
    <row r="4" spans="1:2">
      <c r="A4" s="494"/>
      <c r="B4" s="114">
        <f>DEGREES(IMARGUMENT(B2))</f>
        <v>-12.193774960379088</v>
      </c>
    </row>
    <row r="5" spans="1:2">
      <c r="A5" s="495" t="s">
        <v>319</v>
      </c>
      <c r="B5" s="114" t="s">
        <v>320</v>
      </c>
    </row>
    <row r="6" spans="1:2">
      <c r="A6" s="496"/>
      <c r="B6" s="114" t="str">
        <f>IMPRODUCT(B2,Calc!C33)</f>
        <v>20,4864560337887+45,3391276599061i</v>
      </c>
    </row>
    <row r="7" spans="1:2">
      <c r="A7" s="496"/>
      <c r="B7" s="114">
        <f>IMABS(B6)</f>
        <v>49.752702215916059</v>
      </c>
    </row>
    <row r="8" spans="1:2">
      <c r="A8" s="496"/>
      <c r="B8" s="114">
        <f>DEGREES(IMARGUMENT(B6))</f>
        <v>65.684198604728678</v>
      </c>
    </row>
    <row r="9" spans="1:2">
      <c r="A9" s="496"/>
      <c r="B9" s="114">
        <f>ROUND(IMREAL(B6),2)</f>
        <v>20.49</v>
      </c>
    </row>
    <row r="10" spans="1:2">
      <c r="A10" s="496"/>
      <c r="B10" s="114">
        <f>ROUND(IMAGINARY(B6),2)</f>
        <v>45.34</v>
      </c>
    </row>
    <row r="11" spans="1:2">
      <c r="A11" s="496"/>
      <c r="B11" s="212" t="str">
        <f>COMPLEX(B9,B10)</f>
        <v>20,49+45,34i</v>
      </c>
    </row>
    <row r="12" spans="1:2">
      <c r="A12" s="377" t="s">
        <v>321</v>
      </c>
      <c r="B12" s="114" t="s">
        <v>322</v>
      </c>
    </row>
    <row r="13" spans="1:2">
      <c r="A13" s="377"/>
      <c r="B13" s="213">
        <f>ROUND(IMAGINARY(IMPRODUCT(IMDIV(1,B2),Calc!G26)),6)</f>
        <v>1.8200000000000001E-4</v>
      </c>
    </row>
    <row r="14" spans="1:2">
      <c r="A14" s="377"/>
      <c r="B14" s="113" t="str">
        <f>CONCATENATE(B13,"i")</f>
        <v>0,000182i</v>
      </c>
    </row>
    <row r="16" spans="1:2">
      <c r="A16" s="433" t="s">
        <v>337</v>
      </c>
      <c r="B16" s="433"/>
    </row>
    <row r="17" spans="1:6">
      <c r="A17" s="114" t="s">
        <v>338</v>
      </c>
      <c r="B17" s="113">
        <f>Calc!A10</f>
        <v>0.20599999999999999</v>
      </c>
    </row>
    <row r="18" spans="1:6">
      <c r="A18" s="114" t="s">
        <v>339</v>
      </c>
      <c r="B18" s="113">
        <f>Calc!B10</f>
        <v>1.2052986983073337E-3</v>
      </c>
      <c r="C18">
        <v>1.044</v>
      </c>
    </row>
    <row r="19" spans="1:6">
      <c r="A19" s="183" t="s">
        <v>340</v>
      </c>
      <c r="B19" s="113">
        <f>Calc!F10</f>
        <v>376.99111843077515</v>
      </c>
    </row>
    <row r="20" spans="1:6">
      <c r="A20" s="377" t="s">
        <v>319</v>
      </c>
      <c r="B20" s="113" t="str">
        <f>IMPRODUCT(COMPLEX(B17,B18*B19),B1)</f>
        <v>20,6+45,4386904318039i</v>
      </c>
    </row>
    <row r="21" spans="1:6">
      <c r="A21" s="377"/>
      <c r="B21" s="113">
        <f>IMABS(B20)</f>
        <v>49.890225376894293</v>
      </c>
    </row>
    <row r="22" spans="1:6">
      <c r="A22" s="377"/>
      <c r="B22" s="113">
        <f>DEGREES(IMARGUMENT(B20))</f>
        <v>65.612450079241896</v>
      </c>
      <c r="D22">
        <f>3/9</f>
        <v>0.33333333333333331</v>
      </c>
    </row>
    <row r="25" spans="1:6">
      <c r="F25" s="140"/>
    </row>
  </sheetData>
  <mergeCells count="5">
    <mergeCell ref="A20:A22"/>
    <mergeCell ref="A16:B16"/>
    <mergeCell ref="A2:A4"/>
    <mergeCell ref="A5:A11"/>
    <mergeCell ref="A12:A14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Principal</vt:lpstr>
      <vt:lpstr>Circuito PI</vt:lpstr>
      <vt:lpstr>Relatório</vt:lpstr>
      <vt:lpstr>Calc</vt:lpstr>
      <vt:lpstr>CAA</vt:lpstr>
      <vt:lpstr>CA</vt:lpstr>
      <vt:lpstr>CAL</vt:lpstr>
      <vt:lpstr>Estruturas</vt:lpstr>
      <vt:lpstr>Análises</vt:lpstr>
      <vt:lpstr>PI-calc</vt:lpstr>
      <vt:lpstr>Principal!Area_de_impressao</vt:lpstr>
    </vt:vector>
  </TitlesOfParts>
  <Company>VLC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LT - CE</dc:title>
  <dc:creator>Vilson Luiz Coelho</dc:creator>
  <cp:lastModifiedBy>Márcio Knopp</cp:lastModifiedBy>
  <cp:lastPrinted>2023-07-10T21:52:03Z</cp:lastPrinted>
  <dcterms:created xsi:type="dcterms:W3CDTF">2012-03-21T20:28:39Z</dcterms:created>
  <dcterms:modified xsi:type="dcterms:W3CDTF">2026-09-08T11:11:58Z</dcterms:modified>
</cp:coreProperties>
</file>